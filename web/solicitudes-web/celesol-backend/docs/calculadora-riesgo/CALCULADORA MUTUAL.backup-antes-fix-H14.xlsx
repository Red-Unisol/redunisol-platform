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  <Override PartName="/xl/metadata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lvaro\Downloads\"/>
    </mc:Choice>
  </mc:AlternateContent>
  <bookViews>
    <workbookView xWindow="0" yWindow="0" windowWidth="0" windowHeight="0"/>
  </bookViews>
  <sheets>
    <sheet name="Evaluacion" sheetId="1" r:id="rId1"/>
    <sheet name="Parametros Fijos" sheetId="4" state="hidden" r:id="rId2"/>
    <sheet name="Configuracion" sheetId="2" state="hidden" r:id="rId3"/>
    <sheet name="AMEJUCA" sheetId="7" r:id="rId4"/>
    <sheet name="CRUZ DE EJE" sheetId="6" r:id="rId5"/>
    <sheet name="AMPERPAG" sheetId="8" r:id="rId6"/>
    <sheet name="MUDON" sheetId="9" r:id="rId7"/>
    <sheet name="CBU" sheetId="10" r:id="rId8"/>
    <sheet name="CAJA" sheetId="11" r:id="rId9"/>
    <sheet name="Datos" sheetId="5" r:id="rId10"/>
  </sheets>
  <externalReferences>
    <externalReference r:id="rId11"/>
  </externalReferenc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<sst xmlns="http://schemas.openxmlformats.org/spreadsheetml/2006/main">
  <si>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Analisis De Solicitud - Motor de Respuesta</t>
  </si>
  <si>
    <t>Alta</t>
  </si>
  <si>
    <t>.</t>
  </si>
  <si>
    <t>Version</t>
  </si>
  <si>
    <t>2.1</t>
  </si>
  <si>
    <t>Integrante1</t>
  </si>
  <si>
    <t>APROBADO</t>
  </si>
  <si>
    <t>Integrante2</t>
  </si>
  <si>
    <t>Integrante3</t>
  </si>
  <si>
    <t>General</t>
  </si>
  <si>
    <t>RESULTADO</t>
  </si>
  <si>
    <t>SEMAFORO GENERAL</t>
  </si>
  <si>
    <t>RESULTADO MOTOR</t>
  </si>
  <si>
    <t>ADMISION</t>
  </si>
  <si>
    <t>BCRA</t>
  </si>
  <si>
    <t>ENCUADRE</t>
  </si>
  <si>
    <t>SOLICITUD</t>
  </si>
  <si>
    <t>Solicitud</t>
  </si>
  <si>
    <t>Línea</t>
  </si>
  <si>
    <t>Cuota Resultante</t>
  </si>
  <si>
    <t>Monto a Financiar</t>
  </si>
  <si>
    <t>Cuotas</t>
  </si>
  <si>
    <t>Fecha 1er Vto:</t>
  </si>
  <si>
    <t>Vendedor</t>
  </si>
  <si>
    <t>Convenio</t>
  </si>
  <si>
    <t>TEM</t>
  </si>
  <si>
    <t>Es socio nuevo (titular):</t>
  </si>
  <si>
    <t>Riesgo BCRA</t>
  </si>
  <si>
    <t>SOCIO DE FIAT</t>
  </si>
  <si>
    <t>INTEGRANTES</t>
  </si>
  <si>
    <t xml:space="preserve">Titular_x000d_
</t>
  </si>
  <si>
    <t>CUIT</t>
  </si>
  <si>
    <t>Nombre Completo</t>
  </si>
  <si>
    <t>Cupo Disponible (Interno)</t>
  </si>
  <si>
    <t>Resultado Motor</t>
  </si>
  <si>
    <t>Cupo Disponible (Vendedor)</t>
  </si>
  <si>
    <t>AMEJUCA</t>
  </si>
  <si>
    <t>Cupo Resultante</t>
  </si>
  <si>
    <t>CRUZ DEL EJE</t>
  </si>
  <si>
    <t>Saldo Prest. Vigentes</t>
  </si>
  <si>
    <t>AMPERPAG</t>
  </si>
  <si>
    <t>Compromiso Vigente</t>
  </si>
  <si>
    <t>MUDON</t>
  </si>
  <si>
    <t>Compromiso Resultante</t>
  </si>
  <si>
    <t>CBU</t>
  </si>
  <si>
    <t>Registro de Quiebras</t>
  </si>
  <si>
    <t>CAJA</t>
  </si>
  <si>
    <t>Situación Socio</t>
  </si>
  <si>
    <t>Rechazos del mes</t>
  </si>
  <si>
    <t>Sit. BCRA Actual</t>
  </si>
  <si>
    <t>Sit. BCRA Ult 24 Meses</t>
  </si>
  <si>
    <t>Ingresos</t>
  </si>
  <si>
    <t>Antiguedad Laboral</t>
  </si>
  <si>
    <t>EXTRAS</t>
  </si>
  <si>
    <t>Semaforo</t>
  </si>
  <si>
    <t>Tipo</t>
  </si>
  <si>
    <t>Resultado</t>
  </si>
  <si>
    <t>Necesidad</t>
  </si>
  <si>
    <t>Envío al Motor</t>
  </si>
  <si>
    <t>APROBADA = sigue al paso siguiente</t>
  </si>
  <si>
    <t>PREAPROBADO = para y preaprueba</t>
  </si>
  <si>
    <t>RECHAZADA = para y rechaza</t>
  </si>
  <si>
    <t>REVISAR = para y va a riesgo</t>
  </si>
  <si>
    <t>Parámetros Fijos</t>
  </si>
  <si>
    <t>Variable</t>
  </si>
  <si>
    <t>Valor</t>
  </si>
  <si>
    <t>Respuesta</t>
  </si>
  <si>
    <t xml:space="preserve">Nivel Riesgo BCRA </t>
  </si>
  <si>
    <t>REVISAR</t>
  </si>
  <si>
    <t>Antiguedad Laboral Mínima1</t>
  </si>
  <si>
    <t>Antiguedad Laboral Minima2</t>
  </si>
  <si>
    <t>Propiedad</t>
  </si>
  <si>
    <t>Celda</t>
  </si>
  <si>
    <t>leer</t>
  </si>
  <si>
    <t>grabar</t>
  </si>
  <si>
    <t>proteger</t>
  </si>
  <si>
    <t>Hoja</t>
  </si>
  <si>
    <t/>
  </si>
  <si>
    <t>A1</t>
  </si>
  <si>
    <t>Sheet1</t>
  </si>
  <si>
    <t>CODIGO</t>
  </si>
  <si>
    <t>CONCEPTO</t>
  </si>
  <si>
    <t>MONTO</t>
  </si>
  <si>
    <t>SOCIO</t>
  </si>
  <si>
    <t>Sindicato de Vialidad Provincial</t>
  </si>
  <si>
    <t>DNI</t>
  </si>
  <si>
    <t>Reg.Asig.Compl.Previsional</t>
  </si>
  <si>
    <t>Fondo Especial para Trasplantes (O.S.E.</t>
  </si>
  <si>
    <t>Haberes Brutos</t>
  </si>
  <si>
    <t>Descuento O.S.E.P.</t>
  </si>
  <si>
    <t>Descuentos Ley</t>
  </si>
  <si>
    <t>Aportes Jubilatorios</t>
  </si>
  <si>
    <t>Neto Bruto</t>
  </si>
  <si>
    <t>Seguro de Vida Obligatorio</t>
  </si>
  <si>
    <t>Margen 30%</t>
  </si>
  <si>
    <t>Subsidio por Sepelio</t>
  </si>
  <si>
    <t>Descuentos voluntarios</t>
  </si>
  <si>
    <t>Seguro de Vida Colectivo Facultativo</t>
  </si>
  <si>
    <t>TOTAL DESCUENTOS</t>
  </si>
  <si>
    <t>Aporte Afiliado Asistencia Solidaria O.S.</t>
  </si>
  <si>
    <t>TIENE SITUACIONES</t>
  </si>
  <si>
    <t>Impuesto a las ganancias</t>
  </si>
  <si>
    <t>CUPO GENERAL</t>
  </si>
  <si>
    <t>Total</t>
  </si>
  <si>
    <t>CUPO DISPONIBLE</t>
  </si>
  <si>
    <t>CAPRESCA</t>
  </si>
  <si>
    <t>Gremio A.T.E (Cuota Sindical)</t>
  </si>
  <si>
    <t>Gremio A.T.S.A</t>
  </si>
  <si>
    <t>Federacion de Trabajadores Viales</t>
  </si>
  <si>
    <t>Circulo Policial</t>
  </si>
  <si>
    <t>Cuota I.P.V.</t>
  </si>
  <si>
    <t>BANCAT</t>
  </si>
  <si>
    <t>Partido Justicialista</t>
  </si>
  <si>
    <t>Aguas de Catamarca SAPEM</t>
  </si>
  <si>
    <t>U.P.C.N (Cuota Gremial)</t>
  </si>
  <si>
    <t>Mutual bicentanario</t>
  </si>
  <si>
    <t>CAPRESCA - CREDITO AGAP</t>
  </si>
  <si>
    <t>CAPRESTA- GARANTIA AGAP</t>
  </si>
  <si>
    <t>AGJYS - Crdito AGAP</t>
  </si>
  <si>
    <t>Embargo Judicial por Porcentaje</t>
  </si>
  <si>
    <t>Cuota Alimentaria</t>
  </si>
  <si>
    <t>Union del Personal Civil de la Nacion</t>
  </si>
  <si>
    <t>CAPRESCA - Prestamo A.G.A.P.</t>
  </si>
  <si>
    <t>Mutual 25 de Agosto (Servicio)</t>
  </si>
  <si>
    <t>Mutual 25 de Agosto (Cuota)</t>
  </si>
  <si>
    <t>Caja de Credito Municipal</t>
  </si>
  <si>
    <t>Seguros Org AMPARO</t>
  </si>
  <si>
    <t>Mutual Sindicato de Vialidad Prov</t>
  </si>
  <si>
    <t>U.P.C.N (Servicio)</t>
  </si>
  <si>
    <t>Gremio A.T.E.C.A (Cuota Sindical)</t>
  </si>
  <si>
    <t>Gremio A.T.E.C.A (Servicio)</t>
  </si>
  <si>
    <t>Gremio U.D.A (Cuota Sindical)</t>
  </si>
  <si>
    <t>Gremio U.D.A (Servicio)</t>
  </si>
  <si>
    <t>SI.D.C.A Sind de Docentes de Catamarca (servicio)</t>
  </si>
  <si>
    <t>SI.D.C.A Sind de Docentes de Catamarca (Cuota)</t>
  </si>
  <si>
    <t>CRUZ DE EJE</t>
  </si>
  <si>
    <t>Nombre</t>
  </si>
  <si>
    <t>Aporte Obligatorio (art. 9 L 10.724 )</t>
  </si>
  <si>
    <t>Aporte Personal Jubilatorio</t>
  </si>
  <si>
    <t>Jubilación -Aporte Complementario</t>
  </si>
  <si>
    <t xml:space="preserve">Obra Social - APROSS </t>
  </si>
  <si>
    <t>Fondo de Enfermedades Catastróficas</t>
  </si>
  <si>
    <t xml:space="preserve">Seguro de vida obligatorio </t>
  </si>
  <si>
    <t>Desc. de Haberes No Remunerativos</t>
  </si>
  <si>
    <t>Descuento Haberes</t>
  </si>
  <si>
    <t>Retencion Impuesto a las ganancias</t>
  </si>
  <si>
    <t>Descuento Tareas No Operativas</t>
  </si>
  <si>
    <t>Descuento Cuota Alimentario</t>
  </si>
  <si>
    <t>EMBARGOS</t>
  </si>
  <si>
    <t>Cuota Afiliación SEP</t>
  </si>
  <si>
    <t>Valor Cuota SEP Fondo Social</t>
  </si>
  <si>
    <t>Descto. Prest. Personales Bco. de Córdoba</t>
  </si>
  <si>
    <t>Asoc. Mutual de Comerciantes Bartolomé Mitre</t>
  </si>
  <si>
    <t>Círculo de Suboficiales</t>
  </si>
  <si>
    <t>Afiliación Cooperadora Ins. Sup. Pol</t>
  </si>
  <si>
    <t>Seguro De la Caja- Familiar</t>
  </si>
  <si>
    <t>A.P. Coseguro La Caja - Galicia</t>
  </si>
  <si>
    <t xml:space="preserve">Seguro De Vida Familiar Cas Sa </t>
  </si>
  <si>
    <t>Cuota Afiliación Sindicato UPCN</t>
  </si>
  <si>
    <t>Cuota Afiliación Sindcato UPCN - Servicios Sociale</t>
  </si>
  <si>
    <t>Cuota afiliacion Mutual Ampes</t>
  </si>
  <si>
    <t>Cuota Mutual S.Rita</t>
  </si>
  <si>
    <t>Seguro De la Caja- Titular</t>
  </si>
  <si>
    <t>ASECOR - Seguros Generales</t>
  </si>
  <si>
    <t>Cuota Af. ATSA Filial Oliva Optativo</t>
  </si>
  <si>
    <t>Cuota Afiliacion ATSA Filial Oliva</t>
  </si>
  <si>
    <t>Cuota Afiliación Asoc.Mutual Emp.</t>
  </si>
  <si>
    <t xml:space="preserve">INGRESOS_x000d_
</t>
  </si>
  <si>
    <t>REMUNERATIVO</t>
  </si>
  <si>
    <t>NO REMUNERATIVO</t>
  </si>
  <si>
    <t>TOTAL</t>
  </si>
  <si>
    <t>DESCUENTOS DE LEY</t>
  </si>
  <si>
    <t>Jubilacion - 11%</t>
  </si>
  <si>
    <t>I.S.J - 4%</t>
  </si>
  <si>
    <t>Seg. Col. Sepelio Tit.</t>
  </si>
  <si>
    <t>Seg. De vida obligatorio</t>
  </si>
  <si>
    <t>Cuotas Sindicales</t>
  </si>
  <si>
    <t>Embargo</t>
  </si>
  <si>
    <t>TOTAL DESCUENTOS DE LEY</t>
  </si>
  <si>
    <t>SUBTOTAL</t>
  </si>
  <si>
    <t>AFECTACION</t>
  </si>
  <si>
    <t>SUBTOTAL - AFECTACION</t>
  </si>
  <si>
    <t>DESCUENTOS VOLUNTARIOS</t>
  </si>
  <si>
    <t>Cuota Asociac. Enfer</t>
  </si>
  <si>
    <t>Credito Asociac. Enfer</t>
  </si>
  <si>
    <t>Cuota social UPCN</t>
  </si>
  <si>
    <t>Creditos UPCN</t>
  </si>
  <si>
    <t>Cuota Social SOEME</t>
  </si>
  <si>
    <t>Cuota Social ATSA</t>
  </si>
  <si>
    <t>Credito A.T.S.A</t>
  </si>
  <si>
    <t>A.M.PER.PA.G</t>
  </si>
  <si>
    <t>Credito A.M.PER.PA.G</t>
  </si>
  <si>
    <t>Credito ACIPEND</t>
  </si>
  <si>
    <t>Cuota ACIPEND</t>
  </si>
  <si>
    <t>Credito AMTE</t>
  </si>
  <si>
    <t>Cuota Mut. AMTE</t>
  </si>
  <si>
    <t>Cuota Mut. AMPUAP</t>
  </si>
  <si>
    <t>Credito ADEP</t>
  </si>
  <si>
    <t>Credito UDA</t>
  </si>
  <si>
    <t>OTROS</t>
  </si>
  <si>
    <t>CUPO</t>
  </si>
  <si>
    <t>ASISTENCIAL</t>
  </si>
  <si>
    <t>🡆</t>
  </si>
  <si>
    <t xml:space="preserve">Ingresar el monto y confirmar si es  ASISTENCIAL/JUBILATORIO segun corrresponda</t>
  </si>
  <si>
    <t>TOTAL INGRESOS</t>
  </si>
  <si>
    <t xml:space="preserve">NO TOCAR, se calcula automaticamente. El Neto se calcula: Aporte * 100 / 7  o 100 / 20</t>
  </si>
  <si>
    <t>APORT. JUBIL.I.S.S.N.</t>
  </si>
  <si>
    <t>CARGAR LOS CONSUMOS DE LEY</t>
  </si>
  <si>
    <t>APORT. ASIST. I.S.S.N</t>
  </si>
  <si>
    <t>Seguro obligatorio</t>
  </si>
  <si>
    <t>Cuota alimentaria</t>
  </si>
  <si>
    <t>Deposito Judicial</t>
  </si>
  <si>
    <t>Embargos</t>
  </si>
  <si>
    <t>DIFERENCIA</t>
  </si>
  <si>
    <t>CUPO TOTAL</t>
  </si>
  <si>
    <t>Seguro adicional</t>
  </si>
  <si>
    <t>CARGAR LOS DESCUENTOS VOLUNTARIOS</t>
  </si>
  <si>
    <t>AMAV</t>
  </si>
  <si>
    <t>ATEN</t>
  </si>
  <si>
    <t>CEPRON</t>
  </si>
  <si>
    <t>MURPP</t>
  </si>
  <si>
    <t>MUT POL</t>
  </si>
  <si>
    <t>MUTEN</t>
  </si>
  <si>
    <t>UNIPOL</t>
  </si>
  <si>
    <t>UPCN SINDICAL</t>
  </si>
  <si>
    <t>UPCN CONSUMO</t>
  </si>
  <si>
    <t>MUDON CUOTA SOCIAL</t>
  </si>
  <si>
    <t>NO TOCAR, LA CUOTA SE CALCULA SOLA</t>
  </si>
  <si>
    <t>OTRAS</t>
  </si>
  <si>
    <t>ARANCEL</t>
  </si>
  <si>
    <t>NO TOCAR, EL ARANCEL SE CALCULA SOLO</t>
  </si>
  <si>
    <t>Cupo total - Total descuentos * 0,05</t>
  </si>
  <si>
    <t>CUPO AL 10%</t>
  </si>
  <si>
    <t>Tomar este cupo SOLO en los siguientes casos:</t>
  </si>
  <si>
    <t>- Si el socio posee más de 5 entidades registradas en BCRA</t>
  </si>
  <si>
    <t xml:space="preserve">- Si presenta más de 2 entidades en situación irregular (categorías 4 o 5)_x000d_
</t>
  </si>
  <si>
    <t>CUPO CBU</t>
  </si>
  <si>
    <t>DEBITO</t>
  </si>
  <si>
    <t>INGRESOS</t>
  </si>
  <si>
    <t>DESCUENTOS</t>
  </si>
  <si>
    <t>Para casos con sit irregulares en BCRA</t>
  </si>
  <si>
    <t>CUPO AL 20%</t>
  </si>
  <si>
    <t>Para casos con situaciones 1 unicamente en BCRA</t>
  </si>
  <si>
    <t>CAJA JUBILADOS</t>
  </si>
  <si>
    <t>DESCUENTOS LEY</t>
  </si>
  <si>
    <t>APROSS</t>
  </si>
  <si>
    <t>A.P.R.O.S.S. F.E</t>
  </si>
  <si>
    <t>FONDE DE SUBSIDIO</t>
  </si>
  <si>
    <t>SEG DE VIDA OBLIG</t>
  </si>
  <si>
    <t>Sueldo Neto</t>
  </si>
  <si>
    <t>Desc Voluntarios</t>
  </si>
  <si>
    <t>PORCENTAJE DE DESCUENTO</t>
  </si>
  <si>
    <t>Cupo/Margen</t>
  </si>
  <si>
    <t>ASOC. MUT. FIAT C</t>
  </si>
  <si>
    <t xml:space="preserve"> A.M.E.D.</t>
  </si>
  <si>
    <t xml:space="preserve">A.M.I.S.V.I.M.A. </t>
  </si>
  <si>
    <t xml:space="preserve"> MAITEN -COOP.CRED</t>
  </si>
  <si>
    <t>C0OP. DE CRE. VAN</t>
  </si>
  <si>
    <t>CREDIKOT COOP.</t>
  </si>
  <si>
    <t>AMTAE</t>
  </si>
  <si>
    <t>A.M.C.</t>
  </si>
  <si>
    <t xml:space="preserve">ASOCIACION MUTUAL </t>
  </si>
  <si>
    <t xml:space="preserve">UNION PROVICIAL A </t>
  </si>
  <si>
    <t xml:space="preserve"> COOPERATIVA CANDE</t>
  </si>
  <si>
    <t xml:space="preserve">MUTUAL DE AGRICUL. </t>
  </si>
  <si>
    <t>A.M.P.E.S.</t>
  </si>
  <si>
    <t>CIRCULO DE SUBOF</t>
  </si>
  <si>
    <t xml:space="preserve">MUTUAL POLICIAL </t>
  </si>
  <si>
    <t>MUTUALIDAD JUB.BC</t>
  </si>
  <si>
    <t>Dato</t>
  </si>
  <si>
    <t>Posibles respuestas</t>
  </si>
  <si>
    <t>Nro Solicitud</t>
  </si>
  <si>
    <t>Oid de la solicitud</t>
  </si>
  <si>
    <t>Línea prestamo</t>
  </si>
  <si>
    <t>ID de Línea</t>
  </si>
  <si>
    <t>Monto a financiar ingresado por el vendedor</t>
  </si>
  <si>
    <t xml:space="preserve">Cantidad de cuotas </t>
  </si>
  <si>
    <t>Monto de cuota</t>
  </si>
  <si>
    <t>Nombre del vendedor</t>
  </si>
  <si>
    <t>Convenio de la línea</t>
  </si>
  <si>
    <t>Fecha Solicitud</t>
  </si>
  <si>
    <t>Fecha de alta de solicitud</t>
  </si>
  <si>
    <t>Fecha primer vto</t>
  </si>
  <si>
    <t>Fecha de primer vto de cuota</t>
  </si>
  <si>
    <t>Titular Nuevo</t>
  </si>
  <si>
    <t>Si / No</t>
  </si>
  <si>
    <t>DNI - Titular</t>
  </si>
  <si>
    <t>Dni del titular</t>
  </si>
  <si>
    <t>CUIT - Titular</t>
  </si>
  <si>
    <t>CUIT del titular</t>
  </si>
  <si>
    <t>Nombre Completo - Titular</t>
  </si>
  <si>
    <t>Nombre Completo del titular</t>
  </si>
  <si>
    <t>Cupo Disponible (interno) - Titular</t>
  </si>
  <si>
    <t>Cupo Disponible (depende de la línea)</t>
  </si>
  <si>
    <t>Cupo Disponible (vendedor) - Titular</t>
  </si>
  <si>
    <t>Saldo Prestamos Celesol - Titular</t>
  </si>
  <si>
    <t xml:space="preserve">Saldo capital de Prestamos vigentes </t>
  </si>
  <si>
    <t>Compromiso Mensual Celesol - Titular</t>
  </si>
  <si>
    <t>Monto Cuotas del mes</t>
  </si>
  <si>
    <t>Registro de Quiebras - Titular</t>
  </si>
  <si>
    <t>Si el socio está en lista de quiebras</t>
  </si>
  <si>
    <t>Situación Socio - Titular</t>
  </si>
  <si>
    <t>Lista negra - Necesita entrar mas cuotas</t>
  </si>
  <si>
    <t>Rechazos del mes - Titular</t>
  </si>
  <si>
    <t>true - false</t>
  </si>
  <si>
    <t>Riesgo BCRA - Titular</t>
  </si>
  <si>
    <t>1-5</t>
  </si>
  <si>
    <t>Peor Situación Ult 24 Meses - Titular</t>
  </si>
  <si>
    <t>Ingresos - Titular</t>
  </si>
  <si>
    <t>Ingresos del Titular</t>
  </si>
  <si>
    <t>Antiguedad Laboral - Titular</t>
  </si>
  <si>
    <t>Antiguedad Laboral en meses</t>
  </si>
  <si>
    <t xml:space="preserve">DNI  - Adicional1</t>
  </si>
  <si>
    <t>Dni del adicinal</t>
  </si>
  <si>
    <t>CUIT - Adicional1</t>
  </si>
  <si>
    <t>CUIT del adicional</t>
  </si>
  <si>
    <t>Nombre Completo - Adicional1</t>
  </si>
  <si>
    <t>Nombre Completo del adicional</t>
  </si>
  <si>
    <t>Cupo Disponible - Adicional1</t>
  </si>
  <si>
    <t>Saldo Prestamos Celesol - Adicional1</t>
  </si>
  <si>
    <t>Compromiso Mensual Celesol - Adicional1</t>
  </si>
  <si>
    <t>Registro de Quiebras - Adicional1</t>
  </si>
  <si>
    <t>Situación Socio - Adicional1</t>
  </si>
  <si>
    <t>Rechazos del mes - Adicional1</t>
  </si>
  <si>
    <t>Riesgo BCRA - Adicional1</t>
  </si>
  <si>
    <t>Peor Situación Ult 24 Meses - Adicional 1</t>
  </si>
  <si>
    <t>1-6</t>
  </si>
  <si>
    <t>Ingresos - Adicional1</t>
  </si>
  <si>
    <t>Ingresos del Adicional</t>
  </si>
  <si>
    <t>Antiguedad Laboral - Adicional1</t>
  </si>
  <si>
    <t xml:space="preserve">DNI  - Adicional2</t>
  </si>
  <si>
    <t>Dni del adicional</t>
  </si>
  <si>
    <t>CUIT - Adicional2</t>
  </si>
  <si>
    <t>Nombre Completo - Adicional2</t>
  </si>
  <si>
    <t>Cupo Disponible - Adicional2</t>
  </si>
  <si>
    <t>Saldo Prestamos Celesol - Adicional2</t>
  </si>
  <si>
    <t>Compromiso Mensual Celesol - Adicional2</t>
  </si>
  <si>
    <t>Registro de Quiebras - Adicional2</t>
  </si>
  <si>
    <t>Situación Socio - Adicional2</t>
  </si>
  <si>
    <t>Rechazos del mes - Adicional2</t>
  </si>
  <si>
    <t>Riesgo BCRA - Adicional2</t>
  </si>
  <si>
    <t>Peor Situación Ult 24 Meses - Adicional 2</t>
  </si>
  <si>
    <t>Ingresos - Adicional2</t>
  </si>
  <si>
    <t>Antiguedad Laboral - Adicional2</t>
  </si>
  <si>
    <t>Antiguedad laboral en meses</t>
  </si>
</sst>
</file>

<file path=xl/styles.xml><?xml version="1.0" encoding="utf-8"?>
<styleSheet xmlns="http://schemas.openxmlformats.org/spreadsheetml/2006/main">
  <numFmts count="3">
    <numFmt numFmtId="164" formatCode="_-[$$-2C0A] * #,##0.00_-;-[$$-2C0A] * #,##0.00_-;_-[$$-2C0A] * &quot;-&quot;??_-;_-@_-"/>
    <numFmt numFmtId="165" formatCode="_($#,##0.00_);[Red]($#,##0.00)"/>
    <numFmt numFmtId="166" formatCode="[$$-2C0A] #,##0.00"/>
  </numFmts>
  <fonts count="23">
    <font>
      <sz val="11"/>
      <name val="Calibri"/>
      <family val="2"/>
      <scheme val="minor"/>
    </font>
    <font>
      <sz val="9"/>
      <name val="Calibri"/>
      <scheme val="minor"/>
    </font>
    <font>
      <b/>
      <sz val="11"/>
      <name val="Calibri"/>
      <scheme val="minor"/>
    </font>
    <font>
      <sz val="6"/>
      <name val="Calibri"/>
      <scheme val="minor"/>
    </font>
    <font>
      <b/>
      <sz val="9"/>
      <name val="Calibri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  <font>
      <b/>
      <sz val="10"/>
      <name val="Calibri"/>
      <scheme val="minor"/>
    </font>
    <font>
      <b/>
      <sz val="8"/>
      <name val="Calibri"/>
      <scheme val="minor"/>
    </font>
    <font>
      <sz val="8"/>
      <name val="Calibri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b/>
      <sz val="20"/>
      <color rgb="FFFFFFFF"/>
      <name val="Calibri"/>
      <scheme val="minor"/>
    </font>
    <font>
      <sz val="10"/>
      <name val="Calibri"/>
      <scheme val="minor"/>
    </font>
    <font>
      <sz val="11"/>
      <color rgb="FF3F3F3F"/>
      <name val="Calibri"/>
      <scheme val="minor"/>
    </font>
    <font>
      <sz val="20"/>
      <name val="Calibri"/>
      <scheme val="minor"/>
    </font>
    <font>
      <sz val="20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92D050"/>
      <name val="Calibri"/>
      <scheme val="minor"/>
    </font>
    <font>
      <sz val="11"/>
      <color rgb="FFD8D8D8"/>
      <name val="Calibri"/>
      <scheme val="minor"/>
    </font>
    <font>
      <i/>
      <sz val="11"/>
      <name val="Calibri"/>
      <scheme val="minor"/>
    </font>
    <font>
      <sz val="11"/>
      <color rgb="FF002060"/>
      <name val="Calibri"/>
      <scheme val="minor"/>
    </font>
    <font>
      <sz val="20"/>
      <color rgb="FFFFFFFF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6923C"/>
      </patternFill>
    </fill>
    <fill>
      <patternFill patternType="solid">
        <fgColor rgb="FFD7E3BC"/>
      </patternFill>
    </fill>
    <fill>
      <patternFill patternType="solid">
        <fgColor rgb="FFC6D9F0"/>
      </patternFill>
    </fill>
    <fill>
      <patternFill patternType="solid">
        <fgColor rgb="FF1F497D"/>
      </patternFill>
    </fill>
    <fill>
      <patternFill patternType="solid">
        <fgColor rgb="FFEBF1DD"/>
      </patternFill>
    </fill>
    <fill>
      <patternFill patternType="solid">
        <fgColor rgb="FF8DB3E2"/>
      </patternFill>
    </fill>
    <fill>
      <patternFill patternType="solid">
        <fgColor rgb="FF17365D"/>
      </patternFill>
    </fill>
    <fill>
      <patternFill patternType="solid">
        <fgColor rgb="FF5F497A"/>
      </patternFill>
    </fill>
    <fill>
      <patternFill patternType="solid">
        <fgColor rgb="FFCCC1D9"/>
      </patternFill>
    </fill>
    <fill>
      <patternFill patternType="solid">
        <fgColor rgb="FFB2A2C7"/>
      </patternFill>
    </fill>
    <fill>
      <patternFill patternType="solid">
        <fgColor rgb="FFB2A2C7"/>
        <bgColor rgb="FFFFC7CE"/>
      </patternFill>
    </fill>
    <fill>
      <patternFill patternType="solid">
        <fgColor rgb="FFE5E0EC"/>
      </patternFill>
    </fill>
    <fill>
      <patternFill patternType="solid">
        <fgColor rgb="FF244061"/>
      </patternFill>
    </fill>
    <fill>
      <patternFill patternType="solid">
        <fgColor rgb="FFE36C09"/>
      </patternFill>
    </fill>
    <fill>
      <patternFill patternType="solid">
        <fgColor rgb="FFFBD5B5"/>
      </patternFill>
    </fill>
    <fill>
      <patternFill patternType="solid">
        <fgColor rgb="FF92D050"/>
      </patternFill>
    </fill>
    <fill>
      <patternFill patternType="solid">
        <fgColor rgb="FF205867"/>
      </patternFill>
    </fill>
    <fill>
      <patternFill patternType="solid">
        <fgColor rgb="FFDBEEE3"/>
      </patternFill>
    </fill>
    <fill>
      <patternFill patternType="solid">
        <fgColor rgb="FFD7E3BC"/>
        <bgColor indexed="65"/>
      </patternFill>
    </fill>
  </fills>
  <borders count="38">
    <border/>
    <border>
      <left style="medium">
        <color rgb="FF17365D"/>
      </left>
      <top style="medium">
        <color rgb="FF17365D"/>
      </top>
    </border>
    <border>
      <top style="medium">
        <color rgb="FF17365D"/>
      </top>
    </border>
    <border>
      <right style="medium">
        <color rgb="FF17365D"/>
      </right>
      <top style="medium">
        <color rgb="FF17365D"/>
      </top>
    </border>
    <border>
      <left style="medium">
        <color rgb="FF17365D"/>
      </left>
    </border>
    <border>
      <right style="medium">
        <color rgb="FF17365D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7365D"/>
      </left>
      <bottom style="medium">
        <color rgb="FF17365D"/>
      </bottom>
    </border>
    <border>
      <bottom style="medium">
        <color rgb="FF17365D"/>
      </bottom>
    </border>
    <border>
      <right style="medium">
        <color rgb="FF17365D"/>
      </right>
      <bottom style="medium">
        <color rgb="FF17365D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numFmtId="0" fontId="0" fillId="0" borderId="0"/>
  </cellStyleXfs>
  <cellXfs count="250">
    <xf numFmtId="0" fontId="0" fillId="0" borderId="0" xfId="0"/>
    <xf numFmtId="0" fontId="0" fillId="0" borderId="0" xfId="0" applyFont="1"/>
    <xf numFmtId="0" fontId="0" fillId="2" borderId="0" xfId="0" applyFill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1" fillId="0" borderId="0" xfId="0" applyFont="1"/>
    <xf numFmtId="0" fontId="1" fillId="5" borderId="1" xfId="0" applyFont="1" applyFill="1" applyBorder="1"/>
    <xf numFmtId="0" fontId="1" fillId="5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1" fillId="5" borderId="4" xfId="0" applyFont="1" applyFill="1" applyBorder="1"/>
    <xf numFmtId="0" fontId="1" fillId="5" borderId="0" xfId="0" applyFont="1" applyFill="1" applyBorder="1"/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right"/>
    </xf>
    <xf numFmtId="2" fontId="3" fillId="5" borderId="0" xfId="0" applyNumberFormat="1" applyFont="1" applyFill="1" applyBorder="1"/>
    <xf numFmtId="0" fontId="0" fillId="5" borderId="0" xfId="0" applyFill="1" applyBorder="1"/>
    <xf numFmtId="0" fontId="0" fillId="5" borderId="5" xfId="0" applyFill="1" applyBorder="1"/>
    <xf numFmtId="0" fontId="1" fillId="6" borderId="4" xfId="0" applyFont="1" applyFill="1" applyBorder="1"/>
    <xf numFmtId="0" fontId="1" fillId="6" borderId="0" xfId="0" applyFont="1" applyFill="1" applyBorder="1"/>
    <xf numFmtId="0" fontId="1" fillId="6" borderId="5" xfId="0" applyFont="1" applyFill="1" applyBorder="1"/>
    <xf numFmtId="0" fontId="1" fillId="7" borderId="4" xfId="0" applyFont="1" applyFill="1" applyBorder="1"/>
    <xf numFmtId="0" fontId="1" fillId="7" borderId="0" xfId="0" applyFont="1" applyFill="1" applyBorder="1"/>
    <xf numFmtId="0" fontId="4" fillId="5" borderId="4" xfId="0" applyFont="1" applyFill="1" applyBorder="1"/>
    <xf numFmtId="0" fontId="4" fillId="5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4" fillId="5" borderId="0" xfId="0" applyFont="1" applyFill="1" applyBorder="1"/>
    <xf numFmtId="0" fontId="1" fillId="5" borderId="0" xfId="0" applyFont="1" applyFill="1" applyBorder="1" applyAlignment="1">
      <alignment horizontal="left"/>
    </xf>
    <xf numFmtId="4" fontId="1" fillId="5" borderId="0" xfId="0" applyNumberFormat="1" applyFont="1" applyFill="1" applyBorder="1" applyAlignment="1">
      <alignment horizontal="left"/>
    </xf>
    <xf numFmtId="14" fontId="1" fillId="5" borderId="0" xfId="0" applyNumberFormat="1" applyFont="1" applyFill="1" applyBorder="1" applyAlignment="1">
      <alignment horizontal="left"/>
    </xf>
    <xf numFmtId="10" fontId="1" fillId="5" borderId="0" xfId="0" applyNumberFormat="1" applyFont="1" applyFill="1" applyBorder="1" applyAlignment="1">
      <alignment horizontal="left"/>
    </xf>
    <xf numFmtId="0" fontId="4" fillId="6" borderId="0" xfId="0" applyFont="1" applyFill="1" applyBorder="1"/>
    <xf numFmtId="0" fontId="1" fillId="6" borderId="0" xfId="0" applyFont="1" applyFill="1" applyBorder="1" applyAlignment="1">
      <alignment horizontal="left"/>
    </xf>
    <xf numFmtId="0" fontId="7" fillId="5" borderId="4" xfId="0" applyFont="1" applyFill="1" applyBorder="1"/>
    <xf numFmtId="0" fontId="7" fillId="5" borderId="0" xfId="0" applyFont="1" applyFill="1" applyBorder="1"/>
    <xf numFmtId="0" fontId="4" fillId="5" borderId="0" xfId="0" applyFont="1" applyFill="1" applyBorder="1" applyAlignment="1">
      <alignment horizontal="right" wrapText="1"/>
    </xf>
    <xf numFmtId="0" fontId="7" fillId="5" borderId="0" xfId="0" applyFont="1" applyFill="1" applyBorder="1" applyAlignment="1">
      <alignment horizontal="right"/>
    </xf>
    <xf numFmtId="0" fontId="8" fillId="5" borderId="0" xfId="0" applyFont="1" applyFill="1" applyBorder="1"/>
    <xf numFmtId="0" fontId="9" fillId="5" borderId="0" xfId="0" applyFont="1" applyFill="1" applyBorder="1"/>
    <xf numFmtId="0" fontId="9" fillId="5" borderId="0" xfId="0" applyFont="1" applyFill="1" applyBorder="1" applyAlignment="1">
      <alignment horizontal="right"/>
    </xf>
    <xf numFmtId="0" fontId="8" fillId="5" borderId="0" xfId="0" applyFont="1" applyFill="1" applyBorder="1" applyAlignment="1">
      <alignment horizontal="right"/>
    </xf>
    <xf numFmtId="4" fontId="9" fillId="5" borderId="0" xfId="0" applyNumberFormat="1" applyFont="1" applyFill="1" applyBorder="1"/>
    <xf numFmtId="0" fontId="1" fillId="8" borderId="0" xfId="0" applyFont="1" applyFill="1" applyBorder="1"/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/>
    </xf>
    <xf numFmtId="164" fontId="0" fillId="5" borderId="8" xfId="0" applyNumberFormat="1" applyFont="1" applyFill="1" applyBorder="1" applyAlignment="1">
      <alignment horizontal="center"/>
    </xf>
    <xf numFmtId="4" fontId="9" fillId="5" borderId="0" xfId="0" applyNumberFormat="1" applyFont="1" applyFill="1" applyBorder="1" applyAlignment="1">
      <alignment horizontal="right"/>
    </xf>
    <xf numFmtId="3" fontId="9" fillId="5" borderId="0" xfId="0" applyNumberFormat="1" applyFont="1" applyFill="1" applyBorder="1" applyAlignment="1">
      <alignment horizontal="right"/>
    </xf>
    <xf numFmtId="0" fontId="8" fillId="6" borderId="0" xfId="0" applyFont="1" applyFill="1" applyBorder="1"/>
    <xf numFmtId="0" fontId="9" fillId="6" borderId="0" xfId="0" applyFont="1" applyFill="1" applyBorder="1" applyAlignment="1">
      <alignment horizontal="right"/>
    </xf>
    <xf numFmtId="0" fontId="9" fillId="6" borderId="0" xfId="0" applyFont="1" applyFill="1" applyBorder="1"/>
    <xf numFmtId="0" fontId="1" fillId="6" borderId="0" xfId="0" applyFont="1" applyFill="1" applyBorder="1" applyAlignment="1">
      <alignment horizontal="right"/>
    </xf>
    <xf numFmtId="0" fontId="1" fillId="0" borderId="9" xfId="0" applyFont="1" applyBorder="1"/>
    <xf numFmtId="0" fontId="1" fillId="5" borderId="10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2" fillId="10" borderId="12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15" xfId="0" applyFont="1" applyFill="1" applyBorder="1" applyAlignment="1">
      <alignment horizontal="center" vertical="center" wrapText="1"/>
    </xf>
    <xf numFmtId="0" fontId="12" fillId="10" borderId="16" xfId="0" applyFont="1" applyFill="1" applyBorder="1" applyAlignment="1">
      <alignment horizontal="center"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left" vertical="center"/>
    </xf>
    <xf numFmtId="0" fontId="13" fillId="11" borderId="20" xfId="0" applyFont="1" applyFill="1" applyBorder="1" applyAlignment="1">
      <alignment horizontal="left" vertical="center"/>
    </xf>
    <xf numFmtId="0" fontId="0" fillId="2" borderId="8" xfId="0" applyFill="1" applyBorder="1"/>
    <xf numFmtId="0" fontId="0" fillId="12" borderId="8" xfId="0" applyFill="1" applyBorder="1"/>
    <xf numFmtId="0" fontId="11" fillId="10" borderId="21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left" vertical="center"/>
    </xf>
    <xf numFmtId="0" fontId="13" fillId="11" borderId="23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12" borderId="8" xfId="0" applyNumberFormat="1" applyFill="1" applyBorder="1"/>
    <xf numFmtId="165" fontId="14" fillId="13" borderId="8" xfId="0" applyNumberFormat="1" applyFont="1" applyFill="1" applyBorder="1" applyAlignment="1">
      <alignment horizontal="right" indent="1"/>
    </xf>
    <xf numFmtId="0" fontId="0" fillId="2" borderId="8" xfId="0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0" fontId="0" fillId="12" borderId="7" xfId="0" applyFill="1" applyBorder="1"/>
    <xf numFmtId="0" fontId="11" fillId="10" borderId="24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166" fontId="15" fillId="2" borderId="25" xfId="0" applyNumberFormat="1" applyFont="1" applyFill="1" applyBorder="1" applyAlignment="1">
      <alignment horizontal="center" vertical="center"/>
    </xf>
    <xf numFmtId="166" fontId="15" fillId="2" borderId="0" xfId="0" applyNumberFormat="1" applyFont="1" applyFill="1" applyBorder="1" applyAlignment="1">
      <alignment horizontal="center" vertical="center"/>
    </xf>
    <xf numFmtId="166" fontId="15" fillId="2" borderId="26" xfId="0" applyNumberFormat="1" applyFont="1" applyFill="1" applyBorder="1" applyAlignment="1">
      <alignment horizontal="center" vertical="center"/>
    </xf>
    <xf numFmtId="166" fontId="15" fillId="2" borderId="21" xfId="0" applyNumberFormat="1" applyFont="1" applyFill="1" applyBorder="1" applyAlignment="1">
      <alignment horizontal="center" vertical="center"/>
    </xf>
    <xf numFmtId="166" fontId="15" fillId="2" borderId="22" xfId="0" applyNumberFormat="1" applyFont="1" applyFill="1" applyBorder="1" applyAlignment="1">
      <alignment horizontal="center" vertical="center"/>
    </xf>
    <xf numFmtId="166" fontId="15" fillId="2" borderId="23" xfId="0" applyNumberFormat="1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/>
    </xf>
    <xf numFmtId="165" fontId="0" fillId="14" borderId="7" xfId="0" applyNumberFormat="1" applyFill="1" applyBorder="1"/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0" fillId="0" borderId="0" xfId="0" applyBorder="1"/>
    <xf numFmtId="0" fontId="10" fillId="9" borderId="8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8" xfId="0" applyFill="1" applyBorder="1"/>
    <xf numFmtId="165" fontId="0" fillId="8" borderId="8" xfId="0" applyNumberFormat="1" applyFill="1" applyBorder="1"/>
    <xf numFmtId="0" fontId="11" fillId="9" borderId="6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165" fontId="11" fillId="9" borderId="8" xfId="0" applyNumberFormat="1" applyFont="1" applyFill="1" applyBorder="1"/>
    <xf numFmtId="0" fontId="11" fillId="9" borderId="18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6" fillId="16" borderId="27" xfId="0" applyFont="1" applyFill="1" applyBorder="1" applyAlignment="1">
      <alignment horizontal="center" vertical="center"/>
    </xf>
    <xf numFmtId="0" fontId="16" fillId="16" borderId="28" xfId="0" applyFont="1" applyFill="1" applyBorder="1" applyAlignment="1">
      <alignment horizontal="center" vertical="center"/>
    </xf>
    <xf numFmtId="0" fontId="16" fillId="16" borderId="29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7" fillId="16" borderId="8" xfId="0" applyFont="1" applyFill="1" applyBorder="1" applyAlignment="1">
      <alignment horizontal="center" vertical="center"/>
    </xf>
    <xf numFmtId="0" fontId="17" fillId="16" borderId="8" xfId="0" applyFont="1" applyFill="1" applyBorder="1" applyAlignment="1">
      <alignment horizontal="center"/>
    </xf>
    <xf numFmtId="0" fontId="17" fillId="16" borderId="24" xfId="0" applyFont="1" applyFill="1" applyBorder="1" applyAlignment="1">
      <alignment horizontal="center" vertical="center" wrapText="1"/>
    </xf>
    <xf numFmtId="0" fontId="17" fillId="16" borderId="30" xfId="0" applyFont="1" applyFill="1" applyBorder="1" applyAlignment="1">
      <alignment horizontal="center" vertical="center" wrapText="1"/>
    </xf>
    <xf numFmtId="165" fontId="0" fillId="17" borderId="8" xfId="0" applyNumberFormat="1" applyFill="1" applyBorder="1"/>
    <xf numFmtId="0" fontId="17" fillId="16" borderId="24" xfId="0" applyFont="1" applyFill="1" applyBorder="1" applyAlignment="1">
      <alignment horizontal="center" vertical="center"/>
    </xf>
    <xf numFmtId="165" fontId="0" fillId="2" borderId="8" xfId="0" applyNumberFormat="1" applyFill="1" applyBorder="1"/>
    <xf numFmtId="0" fontId="17" fillId="16" borderId="31" xfId="0" applyFont="1" applyFill="1" applyBorder="1" applyAlignment="1">
      <alignment horizontal="center" vertical="center"/>
    </xf>
    <xf numFmtId="0" fontId="17" fillId="16" borderId="30" xfId="0" applyFont="1" applyFill="1" applyBorder="1" applyAlignment="1">
      <alignment horizontal="center" vertical="center"/>
    </xf>
    <xf numFmtId="0" fontId="0" fillId="2" borderId="24" xfId="0" applyFill="1" applyBorder="1"/>
    <xf numFmtId="0" fontId="17" fillId="16" borderId="18" xfId="0" applyFont="1" applyFill="1" applyBorder="1" applyAlignment="1">
      <alignment horizontal="center"/>
    </xf>
    <xf numFmtId="0" fontId="17" fillId="16" borderId="19" xfId="0" applyFont="1" applyFill="1" applyBorder="1" applyAlignment="1">
      <alignment horizontal="center"/>
    </xf>
    <xf numFmtId="0" fontId="17" fillId="16" borderId="20" xfId="0" applyFont="1" applyFill="1" applyBorder="1" applyAlignment="1">
      <alignment horizontal="center"/>
    </xf>
    <xf numFmtId="165" fontId="0" fillId="17" borderId="7" xfId="0" applyNumberFormat="1" applyFill="1" applyBorder="1"/>
    <xf numFmtId="0" fontId="17" fillId="16" borderId="25" xfId="0" applyFont="1" applyFill="1" applyBorder="1" applyAlignment="1">
      <alignment horizontal="center"/>
    </xf>
    <xf numFmtId="0" fontId="17" fillId="16" borderId="0" xfId="0" applyFont="1" applyFill="1" applyBorder="1" applyAlignment="1">
      <alignment horizontal="center"/>
    </xf>
    <xf numFmtId="0" fontId="17" fillId="16" borderId="26" xfId="0" applyFont="1" applyFill="1" applyBorder="1" applyAlignment="1">
      <alignment horizontal="center"/>
    </xf>
    <xf numFmtId="0" fontId="17" fillId="16" borderId="25" xfId="0" applyFont="1" applyFill="1" applyBorder="1" applyAlignment="1">
      <alignment horizontal="right"/>
    </xf>
    <xf numFmtId="0" fontId="17" fillId="16" borderId="0" xfId="0" applyFont="1" applyFill="1" applyBorder="1" applyAlignment="1">
      <alignment horizontal="right"/>
    </xf>
    <xf numFmtId="9" fontId="17" fillId="16" borderId="26" xfId="0" applyNumberFormat="1" applyFont="1" applyFill="1" applyBorder="1" applyAlignment="1">
      <alignment horizontal="left"/>
    </xf>
    <xf numFmtId="0" fontId="17" fillId="16" borderId="21" xfId="0" applyFont="1" applyFill="1" applyBorder="1" applyAlignment="1">
      <alignment horizontal="center"/>
    </xf>
    <xf numFmtId="0" fontId="17" fillId="16" borderId="22" xfId="0" applyFont="1" applyFill="1" applyBorder="1" applyAlignment="1">
      <alignment horizontal="center"/>
    </xf>
    <xf numFmtId="0" fontId="17" fillId="16" borderId="23" xfId="0" applyFont="1" applyFill="1" applyBorder="1" applyAlignment="1">
      <alignment horizontal="center"/>
    </xf>
    <xf numFmtId="0" fontId="0" fillId="2" borderId="30" xfId="0" applyFill="1" applyBorder="1"/>
    <xf numFmtId="0" fontId="17" fillId="16" borderId="8" xfId="0" applyFont="1" applyFill="1" applyBorder="1" applyAlignment="1">
      <alignment horizontal="center" vertical="center" wrapText="1"/>
    </xf>
    <xf numFmtId="165" fontId="0" fillId="16" borderId="8" xfId="0" applyNumberFormat="1" applyFill="1" applyBorder="1"/>
    <xf numFmtId="0" fontId="17" fillId="0" borderId="0" xfId="0" applyFont="1"/>
    <xf numFmtId="0" fontId="18" fillId="2" borderId="0" xfId="0" applyFont="1" applyFill="1" applyAlignment="1">
      <alignment horizontal="righ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/>
    <xf numFmtId="0" fontId="16" fillId="18" borderId="32" xfId="0" applyFont="1" applyFill="1" applyBorder="1" applyAlignment="1">
      <alignment horizontal="center" vertical="center"/>
    </xf>
    <xf numFmtId="0" fontId="16" fillId="18" borderId="33" xfId="0" applyFont="1" applyFill="1" applyBorder="1" applyAlignment="1">
      <alignment horizontal="center" vertical="center"/>
    </xf>
    <xf numFmtId="0" fontId="16" fillId="18" borderId="3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165" fontId="0" fillId="18" borderId="8" xfId="0" applyNumberFormat="1" applyFill="1" applyBorder="1"/>
    <xf numFmtId="0" fontId="0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0" fillId="18" borderId="18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165" fontId="0" fillId="18" borderId="24" xfId="0" applyNumberFormat="1" applyFill="1" applyBorder="1"/>
    <xf numFmtId="165" fontId="19" fillId="2" borderId="35" xfId="0" applyNumberFormat="1" applyFont="1" applyFill="1" applyBorder="1" applyAlignment="1">
      <alignment horizontal="right"/>
    </xf>
    <xf numFmtId="165" fontId="19" fillId="2" borderId="35" xfId="0" applyNumberFormat="1" applyFont="1" applyFill="1" applyBorder="1"/>
    <xf numFmtId="0" fontId="0" fillId="18" borderId="21" xfId="0" applyFill="1" applyBorder="1" applyAlignment="1">
      <alignment horizontal="center" vertical="center"/>
    </xf>
    <xf numFmtId="0" fontId="0" fillId="18" borderId="22" xfId="0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165" fontId="0" fillId="7" borderId="8" xfId="0" applyNumberFormat="1" applyFill="1" applyBorder="1"/>
    <xf numFmtId="0" fontId="20" fillId="2" borderId="0" xfId="0" applyFont="1" applyFill="1" applyAlignment="1">
      <alignment horizontal="center" vertical="center"/>
    </xf>
    <xf numFmtId="0" fontId="2" fillId="18" borderId="6" xfId="0" applyFont="1" applyFill="1" applyBorder="1" applyAlignment="1">
      <alignment horizontal="center"/>
    </xf>
    <xf numFmtId="0" fontId="2" fillId="18" borderId="7" xfId="0" applyFont="1" applyFill="1" applyBorder="1" applyAlignment="1">
      <alignment horizontal="center"/>
    </xf>
    <xf numFmtId="165" fontId="2" fillId="7" borderId="8" xfId="0" applyNumberFormat="1" applyFont="1" applyFill="1" applyBorder="1"/>
    <xf numFmtId="0" fontId="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0" xfId="0" applyFont="1" applyFill="1" applyAlignment="1">
      <alignment horizontal="left" vertical="top" wrapText="1"/>
    </xf>
    <xf numFmtId="0" fontId="12" fillId="19" borderId="18" xfId="0" applyFont="1" applyFill="1" applyBorder="1" applyAlignment="1">
      <alignment horizontal="center" vertical="center"/>
    </xf>
    <xf numFmtId="0" fontId="12" fillId="19" borderId="19" xfId="0" applyFont="1" applyFill="1" applyBorder="1" applyAlignment="1">
      <alignment horizontal="center" vertical="center"/>
    </xf>
    <xf numFmtId="0" fontId="12" fillId="19" borderId="20" xfId="0" applyFont="1" applyFill="1" applyBorder="1" applyAlignment="1">
      <alignment horizontal="center" vertical="center"/>
    </xf>
    <xf numFmtId="0" fontId="12" fillId="19" borderId="25" xfId="0" applyFont="1" applyFill="1" applyBorder="1" applyAlignment="1">
      <alignment horizontal="center" vertical="center"/>
    </xf>
    <xf numFmtId="0" fontId="12" fillId="19" borderId="0" xfId="0" applyFont="1" applyFill="1" applyBorder="1" applyAlignment="1">
      <alignment horizontal="center" vertical="center"/>
    </xf>
    <xf numFmtId="0" fontId="12" fillId="19" borderId="26" xfId="0" applyFont="1" applyFill="1" applyBorder="1" applyAlignment="1">
      <alignment horizontal="center" vertical="center"/>
    </xf>
    <xf numFmtId="0" fontId="0" fillId="2" borderId="35" xfId="0" applyFill="1" applyBorder="1"/>
    <xf numFmtId="0" fontId="0" fillId="2" borderId="19" xfId="0" applyFill="1" applyBorder="1"/>
    <xf numFmtId="0" fontId="10" fillId="19" borderId="24" xfId="0" applyFont="1" applyFill="1" applyBorder="1" applyAlignment="1">
      <alignment horizontal="center" vertical="center"/>
    </xf>
    <xf numFmtId="166" fontId="0" fillId="20" borderId="6" xfId="0" applyNumberFormat="1" applyFill="1" applyBorder="1"/>
    <xf numFmtId="0" fontId="0" fillId="2" borderId="31" xfId="0" applyFill="1" applyBorder="1"/>
    <xf numFmtId="0" fontId="10" fillId="19" borderId="6" xfId="0" applyFont="1" applyFill="1" applyBorder="1" applyAlignment="1">
      <alignment horizontal="center"/>
    </xf>
    <xf numFmtId="0" fontId="10" fillId="19" borderId="7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 vertical="center"/>
    </xf>
    <xf numFmtId="0" fontId="0" fillId="2" borderId="25" xfId="0" applyFill="1" applyBorder="1"/>
    <xf numFmtId="0" fontId="0" fillId="2" borderId="19" xfId="0" applyFill="1" applyBorder="1" applyAlignment="1">
      <alignment horizontal="center"/>
    </xf>
    <xf numFmtId="0" fontId="0" fillId="20" borderId="8" xfId="0" applyFill="1" applyBorder="1"/>
    <xf numFmtId="166" fontId="0" fillId="2" borderId="8" xfId="0" applyNumberFormat="1" applyFill="1" applyBorder="1"/>
    <xf numFmtId="0" fontId="10" fillId="19" borderId="8" xfId="0" applyFont="1" applyFill="1" applyBorder="1" applyAlignment="1">
      <alignment horizontal="center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165" fontId="17" fillId="20" borderId="8" xfId="0" applyNumberFormat="1" applyFont="1" applyFill="1" applyBorder="1" applyAlignment="1">
      <alignment horizontal="center" vertical="center" wrapText="1"/>
    </xf>
    <xf numFmtId="0" fontId="17" fillId="0" borderId="0" xfId="0" applyFont="1" applyBorder="1"/>
    <xf numFmtId="165" fontId="17" fillId="0" borderId="0" xfId="0" applyNumberFormat="1" applyFont="1" applyBorder="1"/>
    <xf numFmtId="0" fontId="21" fillId="2" borderId="0" xfId="0" applyFont="1" applyFill="1" applyAlignment="1">
      <alignment horizontal="left" vertical="center"/>
    </xf>
    <xf numFmtId="165" fontId="17" fillId="20" borderId="8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0" fillId="19" borderId="30" xfId="0" applyFont="1" applyFill="1" applyBorder="1" applyAlignment="1">
      <alignment horizontal="center" vertical="center"/>
    </xf>
    <xf numFmtId="0" fontId="22" fillId="19" borderId="24" xfId="0" applyFont="1" applyFill="1" applyBorder="1" applyAlignment="1">
      <alignment horizontal="center" vertical="center"/>
    </xf>
    <xf numFmtId="0" fontId="0" fillId="0" borderId="35" xfId="0" applyBorder="1"/>
    <xf numFmtId="0" fontId="0" fillId="0" borderId="19" xfId="0" applyBorder="1"/>
    <xf numFmtId="0" fontId="11" fillId="19" borderId="8" xfId="0" applyFont="1" applyFill="1" applyBorder="1" applyAlignment="1">
      <alignment horizontal="center" vertical="center"/>
    </xf>
    <xf numFmtId="0" fontId="13" fillId="20" borderId="8" xfId="0" applyFont="1" applyFill="1" applyBorder="1"/>
    <xf numFmtId="0" fontId="0" fillId="0" borderId="8" xfId="0" applyBorder="1"/>
    <xf numFmtId="166" fontId="0" fillId="0" borderId="8" xfId="0" applyNumberFormat="1" applyBorder="1"/>
    <xf numFmtId="0" fontId="11" fillId="19" borderId="8" xfId="0" applyFont="1" applyFill="1" applyBorder="1"/>
    <xf numFmtId="165" fontId="0" fillId="0" borderId="8" xfId="0" applyNumberFormat="1" applyBorder="1"/>
    <xf numFmtId="0" fontId="11" fillId="19" borderId="6" xfId="0" applyFont="1" applyFill="1" applyBorder="1" applyAlignment="1">
      <alignment horizontal="center" vertical="center"/>
    </xf>
    <xf numFmtId="0" fontId="11" fillId="19" borderId="7" xfId="0" applyFont="1" applyFill="1" applyBorder="1" applyAlignment="1">
      <alignment horizontal="center" vertical="center"/>
    </xf>
    <xf numFmtId="166" fontId="0" fillId="20" borderId="8" xfId="0" applyNumberFormat="1" applyFill="1" applyBorder="1"/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66" fontId="0" fillId="0" borderId="0" xfId="0" applyNumberFormat="1" applyBorder="1"/>
    <xf numFmtId="0" fontId="11" fillId="19" borderId="35" xfId="0" applyFont="1" applyFill="1" applyBorder="1" applyAlignment="1">
      <alignment horizontal="center" vertical="center"/>
    </xf>
    <xf numFmtId="0" fontId="0" fillId="0" borderId="0" xfId="0" applyFont="1" applyBorder="1"/>
    <xf numFmtId="165" fontId="0" fillId="0" borderId="0" xfId="0" applyNumberFormat="1" applyFont="1" applyBorder="1"/>
    <xf numFmtId="0" fontId="11" fillId="19" borderId="12" xfId="0" applyFont="1" applyFill="1" applyBorder="1" applyAlignment="1">
      <alignment horizontal="center" vertical="center"/>
    </xf>
    <xf numFmtId="0" fontId="11" fillId="19" borderId="14" xfId="0" applyFont="1" applyFill="1" applyBorder="1" applyAlignment="1">
      <alignment horizontal="center" vertical="center"/>
    </xf>
    <xf numFmtId="0" fontId="11" fillId="19" borderId="36" xfId="0" applyFont="1" applyFill="1" applyBorder="1" applyAlignment="1">
      <alignment horizontal="center" vertical="center"/>
    </xf>
    <xf numFmtId="0" fontId="11" fillId="19" borderId="37" xfId="0" applyFont="1" applyFill="1" applyBorder="1" applyAlignment="1">
      <alignment horizontal="center" vertical="center"/>
    </xf>
    <xf numFmtId="165" fontId="15" fillId="20" borderId="36" xfId="0" applyNumberFormat="1" applyFont="1" applyFill="1" applyBorder="1" applyAlignment="1">
      <alignment horizontal="center" vertical="center"/>
    </xf>
    <xf numFmtId="165" fontId="15" fillId="20" borderId="37" xfId="0" applyNumberFormat="1" applyFont="1" applyFill="1" applyBorder="1" applyAlignment="1">
      <alignment horizontal="center" vertical="center"/>
    </xf>
    <xf numFmtId="165" fontId="15" fillId="20" borderId="15" xfId="0" applyNumberFormat="1" applyFont="1" applyFill="1" applyBorder="1" applyAlignment="1">
      <alignment horizontal="center" vertical="center"/>
    </xf>
    <xf numFmtId="165" fontId="15" fillId="20" borderId="17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3" borderId="0" xfId="0" applyFont="1" applyFill="1"/>
    <xf numFmtId="0" fontId="9" fillId="2" borderId="0" xfId="0" applyFont="1" applyFill="1"/>
    <xf numFmtId="0" fontId="9" fillId="2" borderId="0" xfId="0" applyNumberFormat="1" applyFont="1" applyFill="1"/>
    <xf numFmtId="14" fontId="9" fillId="2" borderId="0" xfId="0" applyNumberFormat="1" applyFont="1" applyFill="1"/>
    <xf numFmtId="0" fontId="9" fillId="4" borderId="0" xfId="0" applyFont="1" applyFill="1"/>
    <xf numFmtId="0" fontId="9" fillId="21" borderId="0" xfId="0" applyFont="1" applyFill="1"/>
  </cellXfs>
  <cellStyles count="1">
    <cellStyle name="Normal" xfId="0" builtinId="0"/>
  </cellStyles>
  <dxfs count="9">
    <dxf>
      <font>
        <b/>
        <i val="0"/>
        <color rgb="FFFFFFFF"/>
      </font>
      <fill>
        <patternFill patternType="solid">
          <bgColor rgb="FFFFC000"/>
        </patternFill>
      </fill>
    </dxf>
    <dxf>
      <font>
        <b/>
        <i val="0"/>
        <color rgb="FFFFFFFF"/>
      </font>
      <fill>
        <patternFill patternType="solid">
          <bgColor rgb="FF953734"/>
        </patternFill>
      </fill>
    </dxf>
    <dxf>
      <font>
        <color rgb="FFFFFFFF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953734"/>
        </patternFill>
      </fill>
    </dxf>
    <dxf>
      <font>
        <b val="0"/>
        <i val="0"/>
        <color rgb="FFFFFFFF"/>
      </font>
      <fill>
        <patternFill patternType="solid">
          <bgColor rgb="FFFFC000"/>
        </patternFill>
      </fill>
    </dxf>
    <dxf>
      <font>
        <b val="0"/>
        <i val="0"/>
        <color rgb="FFFFFFFF"/>
      </font>
      <fill>
        <patternFill patternType="solid">
          <bgColor rgb="FF953734"/>
        </patternFill>
      </fill>
    </dxf>
    <dxf>
      <font>
        <b/>
        <i val="0"/>
        <color rgb="FFFFFFFF"/>
      </font>
      <fill>
        <patternFill patternType="solid">
          <bgColor rgb="FF76923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externalLink" Target="externalLinks/externalLink1.xml" /><Relationship Id="rId12" Type="http://schemas.openxmlformats.org/officeDocument/2006/relationships/sheetMetadata" Target="metadata.xml" /><Relationship Id="rId13" Type="http://schemas.openxmlformats.org/officeDocument/2006/relationships/styles" Target="styles.xml" /><Relationship Id="rId14" Type="http://schemas.openxmlformats.org/officeDocument/2006/relationships/theme" Target="theme/theme1.xml" /><Relationship Id="rId1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47625</xdr:rowOff>
    </xdr:from>
    <xdr:ext cx="1990725" cy="5619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EJE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JE"/>
    </sheetNames>
    <sheetDataSet>
      <sheetData refreshError="1"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="85" zoomScaleNormal="85" workbookViewId="0">
      <selection activeCell="N21" sqref="M21:N21"/>
    </sheetView>
  </sheetViews>
  <sheetFormatPr defaultRowHeight="15"/>
  <cols>
    <col min="1" max="1" width="7" style="6" customWidth="1"/>
    <col min="2" max="2" width="11.140625" style="6" customWidth="1"/>
    <col min="3" max="3" width="10.285156" style="6" customWidth="1"/>
    <col min="4" max="4" width="15.855469" style="6" customWidth="1"/>
    <col min="5" max="5" width="10" style="6" bestFit="1" customWidth="1"/>
    <col min="6" max="6" width="9.140625" style="6"/>
    <col min="7" max="7" width="10.285156" style="6" bestFit="1" customWidth="1"/>
    <col min="8" max="8" width="15.425781" style="6" customWidth="1"/>
    <col min="9" max="9" width="9.140625" style="6" hidden="1"/>
    <col min="10" max="10" width="9.140625" style="6"/>
    <col min="11" max="11" width="15.425781" style="6" customWidth="1"/>
    <col min="12" max="12" width="11" style="6" hidden="1" customWidth="1"/>
    <col min="13" max="13" width="14.7109375" style="6" customWidth="1"/>
    <col min="14" max="14" width="14.855469" style="6" customWidth="1"/>
    <col min="15" max="15" width="6.140625" style="6" customWidth="1"/>
  </cols>
  <sheetData>
    <row r="1">
      <c r="A1" s="7"/>
      <c r="B1" s="8"/>
      <c r="C1" s="9" t="s">
        <v>0</v>
      </c>
      <c r="D1" s="9"/>
      <c r="E1" s="9"/>
      <c r="F1" s="9"/>
      <c r="G1" s="9"/>
      <c r="H1" s="9"/>
      <c r="I1" s="9"/>
      <c r="J1" s="9" t="s">
        <v>1</v>
      </c>
      <c r="K1" s="10" t="str">
        <f ca="1">Datos!B11</f>
        <v>El camino de la propiedad 'Fecha' no es correcto para el tipo 'ClasesBase.HojaCalculo'.</v>
      </c>
      <c r="L1" s="8"/>
      <c r="M1" s="8"/>
      <c r="N1" s="8" t="s">
        <v>2</v>
      </c>
      <c r="O1" s="8"/>
      <c r="P1" s="11"/>
      <c r="Q1" s="11"/>
      <c r="R1" s="11"/>
      <c r="S1" s="11"/>
      <c r="T1" s="11"/>
      <c r="U1" s="11"/>
      <c r="V1" s="11"/>
      <c r="W1" s="11"/>
      <c r="X1" s="11"/>
      <c r="Y1" s="12"/>
    </row>
    <row r="2" ht="31.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6"/>
      <c r="L2" s="17"/>
      <c r="M2" s="17"/>
      <c r="N2" s="18" t="s">
        <v>3</v>
      </c>
      <c r="O2" s="19" t="s">
        <v>4</v>
      </c>
      <c r="P2" s="20"/>
      <c r="Q2" s="20"/>
      <c r="R2" s="20"/>
      <c r="S2" s="20"/>
      <c r="T2" s="20"/>
      <c r="U2" s="20"/>
      <c r="V2" s="20"/>
      <c r="W2" s="20"/>
      <c r="X2" s="20"/>
      <c r="Y2" s="21"/>
    </row>
    <row r="3" s="1" customFormat="1" ht="3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</row>
    <row r="4" hidden="1">
      <c r="A4" s="25" t="s">
        <v>5</v>
      </c>
      <c r="B4" s="26"/>
      <c r="C4" s="26"/>
      <c r="D4" s="26" t="str">
        <f ca="1">IF(AND(E27="APROBADO",E28="APROBADO",E29="APROBADO",E33="APROBADO"),"APROBADO",IF(OR(E27="RECHAZADO",E28="RECHAZADO",E29="RECHAZADOADO",E33="RECHAZADO"),"RECHAZADO","REVISAR"))</f>
        <v>REVISAR</v>
      </c>
      <c r="E4" s="26"/>
      <c r="F4" s="26"/>
      <c r="G4" s="26" t="str">
        <f ca="1">E30</f>
        <v>APROBADO</v>
      </c>
      <c r="H4" s="26"/>
      <c r="I4" s="26"/>
      <c r="J4" s="26" t="str">
        <f ca="1">IF(E23="RECHAZADO","RECHAZADO",IF(E23="REVISAR","REVISAR","APROBADO"))</f>
        <v>APROBADO</v>
      </c>
      <c r="K4" s="26"/>
      <c r="L4" s="26"/>
      <c r="M4" s="26"/>
      <c r="N4" s="26"/>
      <c r="O4" s="26"/>
      <c r="P4" s="20"/>
      <c r="Q4" s="20"/>
      <c r="R4" s="20"/>
      <c r="S4" s="20"/>
      <c r="T4" s="20"/>
      <c r="U4" s="20"/>
      <c r="V4" s="20"/>
      <c r="W4" s="20"/>
      <c r="X4" s="20"/>
      <c r="Y4" s="21"/>
    </row>
    <row r="5" hidden="1">
      <c r="A5" s="25" t="s">
        <v>7</v>
      </c>
      <c r="B5" s="26"/>
      <c r="C5" s="26"/>
      <c r="D5" s="26" t="str">
        <f ca="1">IF(AND(I27="APROBADO",I28="APROBADO",I29="APROBADO",I33="APROBADO"),"APROBADO",IF(OR(I27="RECHAZADO",I28="RECHAZADO",I29="RECHAZADOADO",I33="RECHAZADO"),"RECHAZADO","REVISAR"))</f>
        <v>REVISAR</v>
      </c>
      <c r="E5" s="26"/>
      <c r="F5" s="26"/>
      <c r="G5" s="26" t="str">
        <f ca="1">I30</f>
        <v>REVISAR</v>
      </c>
      <c r="H5" s="26"/>
      <c r="I5" s="26"/>
      <c r="J5" s="26" t="str">
        <f>IF(I21="RECHAZADO","RECHAZADO","APROBADO")</f>
        <v>APROBADO</v>
      </c>
      <c r="K5" s="26"/>
      <c r="L5" s="26"/>
      <c r="M5" s="26"/>
      <c r="N5" s="26"/>
      <c r="O5" s="26"/>
      <c r="P5" s="20"/>
      <c r="Q5" s="20"/>
      <c r="R5" s="20"/>
      <c r="S5" s="20"/>
      <c r="T5" s="20"/>
      <c r="U5" s="20"/>
      <c r="V5" s="20"/>
      <c r="W5" s="20"/>
      <c r="X5" s="20"/>
      <c r="Y5" s="21"/>
    </row>
    <row r="6" hidden="1">
      <c r="A6" s="25" t="s">
        <v>8</v>
      </c>
      <c r="B6" s="26"/>
      <c r="C6" s="26"/>
      <c r="D6" s="26" t="str">
        <f ca="1">IF(AND(L27="APROBADO",L28="APROBADO",L29="APROBADO",L33="APROBADO"),"APROBADO",IF(OR(L27="RECHAZADO",L28="RECHAZADO",L29="RECHAZADOADO",L33="RECHAZADO"),"RECHAZADO","REVISAR"))</f>
        <v>REVISAR</v>
      </c>
      <c r="E6" s="26"/>
      <c r="F6" s="26"/>
      <c r="G6" s="26" t="str">
        <f ca="1">L30</f>
        <v>REVISAR</v>
      </c>
      <c r="H6" s="26"/>
      <c r="I6" s="26"/>
      <c r="J6" s="26" t="str">
        <f>IF(L21="RECHAZADO","RECHAZADO","APROBADO")</f>
        <v>APROBADO</v>
      </c>
      <c r="K6" s="26"/>
      <c r="L6" s="26"/>
      <c r="M6" s="26"/>
      <c r="N6" s="26"/>
      <c r="O6" s="26"/>
      <c r="P6" s="20"/>
      <c r="Q6" s="20"/>
      <c r="R6" s="20"/>
      <c r="S6" s="20"/>
      <c r="T6" s="20"/>
      <c r="U6" s="20"/>
      <c r="V6" s="20"/>
      <c r="W6" s="20"/>
      <c r="X6" s="20"/>
      <c r="Y6" s="21"/>
    </row>
    <row r="7" hidden="1" ht="12.75" customHeight="1">
      <c r="A7" s="25" t="s">
        <v>9</v>
      </c>
      <c r="B7" s="26"/>
      <c r="C7" s="26"/>
      <c r="D7" s="26" t="str">
        <f ca="1">IF(AND(D4="APROBADO",D5="APROBADO",D6="APROBADO"),"APROBADO",IF(OR(D4="RECHAZADO",D5="RECHAZADO",D6="RECHAZADO"),"RECHAZADO","REVISAR"))</f>
        <v>REVISAR</v>
      </c>
      <c r="E7" s="26"/>
      <c r="F7" s="26"/>
      <c r="G7" s="26" t="str">
        <f ca="1">IF(AND(G4="APROBADO",G5="APROBADO",G6="APROBADO"),"APROBADO",IF(OR(G4="RECHAZADO",G5="RECHAZADO",G6="RECHAZADO"),"RECHAZADO","REVISAR"))</f>
        <v>REVISAR</v>
      </c>
      <c r="H7" s="26"/>
      <c r="I7" s="26"/>
      <c r="J7" s="26" t="str">
        <f ca="1">IF(AND(J4="APROBADO",J5="APROBADO",J6="APROBADO"),"APROBADO",IF(OR(J4="RECHAZADO",J5="RECHAZADO",J6="RECHAZADO"),"RECHAZADO","REVISAR"))</f>
        <v>APROBADO</v>
      </c>
      <c r="K7" s="26"/>
      <c r="L7" s="26"/>
      <c r="M7" s="26" t="s">
        <v>10</v>
      </c>
      <c r="N7" s="26"/>
      <c r="O7" s="26"/>
      <c r="P7" s="20"/>
      <c r="Q7" s="20"/>
      <c r="R7" s="20"/>
      <c r="S7" s="20"/>
      <c r="T7" s="20"/>
      <c r="U7" s="20"/>
      <c r="V7" s="20"/>
      <c r="W7" s="20"/>
      <c r="X7" s="20"/>
      <c r="Y7" s="21"/>
    </row>
    <row r="8" ht="12.75" customHeight="1">
      <c r="A8" s="27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28" t="s">
        <v>12</v>
      </c>
      <c r="N8" s="28"/>
      <c r="O8" s="28"/>
      <c r="P8" s="20"/>
      <c r="Q8" s="20"/>
      <c r="R8" s="20"/>
      <c r="S8" s="20"/>
      <c r="T8" s="20"/>
      <c r="U8" s="20"/>
      <c r="V8" s="20"/>
      <c r="W8" s="20"/>
      <c r="X8" s="20"/>
      <c r="Y8" s="21"/>
    </row>
    <row r="9">
      <c r="A9" s="13"/>
      <c r="B9" s="14"/>
      <c r="C9" s="29" t="s">
        <v>13</v>
      </c>
      <c r="D9" s="29"/>
      <c r="E9" s="29"/>
      <c r="F9" s="29" t="s">
        <v>14</v>
      </c>
      <c r="G9" s="29"/>
      <c r="H9" s="29"/>
      <c r="I9" s="29" t="s">
        <v>15</v>
      </c>
      <c r="J9" s="29"/>
      <c r="K9" s="29"/>
      <c r="L9" s="30"/>
      <c r="M9" s="29" t="str">
        <f ca="1">IF(AND(D7="APROBADO",G7="APROBADO",J7="APROBADO"),"PRE-APROBADO",IF(OR(D7="RECHAZADO",G7="RECHAZADO",J7="RECHAZADO"),"RECHAZADO","REVISAR"))</f>
        <v>REVISAR</v>
      </c>
      <c r="N9" s="30"/>
      <c r="O9" s="30"/>
      <c r="P9" s="20"/>
      <c r="Q9" s="20"/>
      <c r="R9" s="20"/>
      <c r="S9" s="20"/>
      <c r="T9" s="20"/>
      <c r="U9" s="20"/>
      <c r="V9" s="20"/>
      <c r="W9" s="20"/>
      <c r="X9" s="20"/>
      <c r="Y9" s="21"/>
    </row>
    <row r="10" ht="12" customHeight="1">
      <c r="A10" s="27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/>
      <c r="Q10" s="20"/>
      <c r="R10" s="20"/>
      <c r="S10" s="20"/>
      <c r="T10" s="20"/>
      <c r="U10" s="20"/>
      <c r="V10" s="20"/>
      <c r="W10" s="20"/>
      <c r="X10" s="20"/>
      <c r="Y10" s="21"/>
    </row>
    <row r="11" ht="12" customHeight="1">
      <c r="A11" s="13"/>
      <c r="B11" s="31" t="s">
        <v>17</v>
      </c>
      <c r="C11" s="14"/>
      <c r="D11" s="32" t="str">
        <f ca="1">Datos!B2</f>
        <v>El camino de la propiedad 'Oid' no es correcto para el tipo 'ClasesBase.HojaCalculo'.</v>
      </c>
      <c r="E11" s="14"/>
      <c r="F11" s="14"/>
      <c r="G11" s="31" t="s">
        <v>18</v>
      </c>
      <c r="H11" s="32" t="str">
        <f ca="1">Datos!B3</f>
        <v>El camino de la propiedad 'LineaPrestamo' no es correcto para el tipo 'ClasesBase.HojaCalculo'.</v>
      </c>
      <c r="I11" s="14"/>
      <c r="J11" s="14"/>
      <c r="K11" s="31" t="s">
        <v>19</v>
      </c>
      <c r="L11" s="14"/>
      <c r="M11" s="33" t="str">
        <f ca="1">Datos!B7</f>
        <v>El camino de la propiedad 'CuotaResultante' no es correcto para el tipo 'ClasesBase.HojaCalculo'.</v>
      </c>
      <c r="N11" s="14"/>
      <c r="O11" s="14"/>
      <c r="P11" s="20"/>
      <c r="Q11" s="20"/>
      <c r="R11" s="20"/>
      <c r="S11" s="20"/>
      <c r="T11" s="20"/>
      <c r="U11" s="20"/>
      <c r="V11" s="20"/>
      <c r="W11" s="20"/>
      <c r="X11" s="20"/>
      <c r="Y11" s="21"/>
    </row>
    <row r="12" ht="12" customHeight="1">
      <c r="A12" s="13"/>
      <c r="B12" s="31" t="s">
        <v>20</v>
      </c>
      <c r="C12" s="14"/>
      <c r="D12" s="33" t="str">
        <f ca="1">Datos!B5</f>
        <v>El camino de la propiedad 'MontoAFinanciar' no es correcto para el tipo 'ClasesBase.HojaCalculo'.</v>
      </c>
      <c r="E12" s="14"/>
      <c r="F12" s="14"/>
      <c r="G12" s="31" t="s">
        <v>21</v>
      </c>
      <c r="H12" s="32" t="str">
        <f ca="1">Datos!B6</f>
        <v>El camino de la propiedad 'Cuotas' no es correcto para el tipo 'ClasesBase.HojaCalculo'.</v>
      </c>
      <c r="I12" s="14"/>
      <c r="J12" s="14"/>
      <c r="K12" s="31" t="s">
        <v>22</v>
      </c>
      <c r="L12" s="14"/>
      <c r="M12" s="34" t="str">
        <f ca="1">Datos!B12</f>
        <v>El camino de la propiedad 'FechaPrimerVencimiento' no es correcto para el tipo 'ClasesBase.HojaCalculo'.</v>
      </c>
      <c r="N12" s="14"/>
      <c r="O12" s="14"/>
      <c r="P12" s="20"/>
      <c r="Q12" s="20"/>
      <c r="R12" s="20"/>
      <c r="S12" s="20"/>
      <c r="T12" s="20"/>
      <c r="U12" s="20"/>
      <c r="V12" s="20"/>
      <c r="W12" s="20"/>
      <c r="X12" s="20"/>
      <c r="Y12" s="21"/>
    </row>
    <row r="13" ht="12" customHeight="1">
      <c r="A13" s="13"/>
      <c r="B13" s="31" t="s">
        <v>23</v>
      </c>
      <c r="C13" s="14"/>
      <c r="D13" s="32" t="str">
        <f ca="1">Datos!B9</f>
        <v>El camino de la propiedad 'VendedorSolicitud' no es correcto para el tipo 'ClasesBase.HojaCalculo'.</v>
      </c>
      <c r="E13" s="14"/>
      <c r="F13" s="14"/>
      <c r="G13" s="31" t="s">
        <v>24</v>
      </c>
      <c r="H13" s="32" t="str">
        <f ca="1">Datos!B10</f>
        <v>Parser error at line 0, character 26: syntax error; ("[&lt;LineaPrestamo&gt;][[ID]=El {FAILED HERE}camino de la propiedad 'LineaPrestamo.ID' no es correcto para el tipo 'ClasesBase.HojaCalculo'.].Max([Terminos y condiciones])")</v>
      </c>
      <c r="I13" s="14"/>
      <c r="J13" s="14"/>
      <c r="K13" s="14" t="s">
        <v>25</v>
      </c>
      <c r="L13" s="14"/>
      <c r="M13" s="35" t="str">
        <f ca="1">Datos!B8</f>
        <v>El camino de la propiedad 'TEM' no es correcto para el tipo 'ClasesBase.HojaCalculo'.</v>
      </c>
      <c r="N13" s="14"/>
      <c r="O13" s="14"/>
      <c r="P13" s="20"/>
      <c r="Q13" s="20"/>
      <c r="R13" s="20"/>
      <c r="S13" s="20"/>
      <c r="T13" s="20"/>
      <c r="U13" s="20"/>
      <c r="V13" s="20"/>
      <c r="W13" s="20"/>
      <c r="X13" s="20"/>
      <c r="Y13" s="21"/>
    </row>
    <row r="14" ht="12" customHeight="1">
      <c r="A14" s="13"/>
      <c r="B14" s="31" t="s">
        <v>26</v>
      </c>
      <c r="C14" s="14"/>
      <c r="D14" s="32" t="str">
        <f ca="1">Datos!B13</f>
        <v>NO</v>
      </c>
      <c r="E14" s="14"/>
      <c r="F14" s="14">
        <f ca="1">IF(Evaluacion!D30=1,0.2,0.1)</f>
        <v>0.20000000000000001</v>
      </c>
      <c r="G14" s="31" t="s">
        <v>27</v>
      </c>
      <c r="H14" s="32" t="str">
        <f ca="1">Datos!F24</f>
        <v>El camino de la propiedad 'NivelRiesgo' no es correcto para el tipo 'ClasesBase.HojaCalculo'.</v>
      </c>
      <c r="I14" s="32"/>
      <c r="J14" s="14"/>
      <c r="K14" s="14" t="s">
        <v>28</v>
      </c>
      <c r="L14" s="14"/>
      <c r="M14" s="14"/>
      <c r="N14" s="14"/>
      <c r="O14" s="32"/>
      <c r="P14" s="20"/>
      <c r="Q14" s="20"/>
      <c r="R14" s="20"/>
      <c r="S14" s="20"/>
      <c r="T14" s="20"/>
      <c r="U14" s="20"/>
      <c r="V14" s="20"/>
      <c r="W14" s="20"/>
      <c r="X14" s="20"/>
      <c r="Y14" s="21"/>
    </row>
    <row r="15" s="1" customFormat="1" ht="4.5" customHeight="1">
      <c r="A15" s="22"/>
      <c r="B15" s="36"/>
      <c r="C15" s="23"/>
      <c r="D15" s="37"/>
      <c r="E15" s="23"/>
      <c r="F15" s="23"/>
      <c r="G15" s="23"/>
      <c r="H15" s="36"/>
      <c r="I15" s="37"/>
      <c r="J15" s="23"/>
      <c r="K15" s="23"/>
      <c r="L15" s="23"/>
      <c r="M15" s="36"/>
      <c r="N15" s="23"/>
      <c r="O15" s="37"/>
      <c r="P15" s="23"/>
      <c r="Q15" s="23"/>
      <c r="R15" s="23"/>
      <c r="S15" s="23"/>
      <c r="T15" s="23"/>
      <c r="U15" s="23"/>
      <c r="V15" s="23"/>
      <c r="W15" s="23"/>
      <c r="X15" s="23"/>
      <c r="Y15" s="24"/>
    </row>
    <row r="16" ht="6.7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0"/>
      <c r="Q16" s="20"/>
      <c r="R16" s="20"/>
      <c r="S16" s="20"/>
      <c r="T16" s="20"/>
      <c r="U16" s="20"/>
      <c r="V16" s="20"/>
      <c r="W16" s="20"/>
      <c r="X16" s="20"/>
      <c r="Y16" s="21"/>
    </row>
    <row r="17">
      <c r="A17" s="38" t="s">
        <v>29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0"/>
      <c r="Q17" s="20"/>
      <c r="R17" s="20"/>
      <c r="S17" s="20"/>
      <c r="T17" s="20"/>
      <c r="U17" s="20"/>
      <c r="V17" s="20"/>
      <c r="W17" s="20"/>
      <c r="X17" s="20"/>
      <c r="Y17" s="21"/>
    </row>
    <row r="18" ht="17.25" customHeight="1">
      <c r="A18" s="13"/>
      <c r="B18" s="39"/>
      <c r="C18" s="14"/>
      <c r="D18" s="40" t="s">
        <v>30</v>
      </c>
      <c r="E18" s="14"/>
      <c r="F18" s="14"/>
      <c r="G18" s="14"/>
      <c r="H18" s="41" t="str">
        <f ca="1">IF(Datos!B29&lt;&gt;"","Adicional 1","")</f>
        <v>Adicional 1</v>
      </c>
      <c r="I18" s="14"/>
      <c r="J18" s="14"/>
      <c r="K18" s="41" t="str">
        <f ca="1">IF(Datos!B42&lt;&gt;"","Adicional 2","")</f>
        <v>Adicional 2</v>
      </c>
      <c r="L18" s="14"/>
      <c r="M18" s="14"/>
      <c r="N18" s="14"/>
      <c r="O18" s="14"/>
      <c r="P18" s="20"/>
      <c r="Q18" s="20"/>
      <c r="R18" s="20"/>
      <c r="S18" s="20"/>
      <c r="T18" s="20"/>
      <c r="U18" s="20"/>
      <c r="V18" s="20"/>
      <c r="W18" s="20"/>
      <c r="X18" s="20"/>
      <c r="Y18" s="21"/>
    </row>
    <row r="19">
      <c r="A19" s="13"/>
      <c r="B19" s="42" t="s">
        <v>31</v>
      </c>
      <c r="C19" s="14"/>
      <c r="D19" s="43" t="str">
        <f ca="1">Datos!B15</f>
        <v>El camino de la propiedad 'CUIT' no es correcto para el tipo 'ClasesBase.HojaCalculo'.</v>
      </c>
      <c r="E19" s="14"/>
      <c r="F19" s="14"/>
      <c r="G19" s="14"/>
      <c r="H19" s="44" t="str">
        <f ca="1">IF(H18="","",Datos!B29)</f>
        <v>El camino de la propiedad 'Adicional1.CUIT' no es correcto para el tipo 'ClasesBase.HojaCalculo'.</v>
      </c>
      <c r="I19" s="14"/>
      <c r="J19" s="14"/>
      <c r="K19" s="44" t="str">
        <f ca="1">IF(K18="","",Datos!B42)</f>
        <v>El camino de la propiedad 'Adicional2.CUIT' no es correcto para el tipo 'ClasesBase.HojaCalculo'.</v>
      </c>
      <c r="L19" s="14"/>
      <c r="M19" s="14"/>
      <c r="N19" s="14"/>
      <c r="O19" s="14"/>
      <c r="P19" s="20"/>
      <c r="Q19" s="20"/>
      <c r="R19" s="20"/>
      <c r="S19" s="20"/>
      <c r="T19" s="20"/>
      <c r="U19" s="20"/>
      <c r="V19" s="20"/>
      <c r="W19" s="20"/>
      <c r="X19" s="20"/>
      <c r="Y19" s="21"/>
    </row>
    <row r="20">
      <c r="A20" s="13"/>
      <c r="B20" s="42" t="s">
        <v>32</v>
      </c>
      <c r="C20" s="14"/>
      <c r="D20" s="45" t="str">
        <f ca="1">Datos!B16</f>
        <v>El camino de la propiedad 'NombreCompleto' no es correcto para el tipo 'ClasesBase.HojaCalculo'.</v>
      </c>
      <c r="E20" s="14"/>
      <c r="F20" s="14"/>
      <c r="G20" s="14"/>
      <c r="H20" s="45" t="str">
        <f ca="1">IF(H18="","",Datos!B30)</f>
        <v>El camino de la propiedad 'Adicional1.NombreCompleto' no es correcto para el tipo 'ClasesBase.HojaCalculo'.</v>
      </c>
      <c r="I20" s="14"/>
      <c r="J20" s="14"/>
      <c r="K20" s="45" t="str">
        <f ca="1">IF(K18="","",Datos!B43)</f>
        <v>El camino de la propiedad 'Adicional2.NombreCompleto' no es correcto para el tipo 'ClasesBase.HojaCalculo'.</v>
      </c>
      <c r="L20" s="14"/>
      <c r="M20" s="14"/>
      <c r="N20" s="14"/>
      <c r="O20" s="14"/>
      <c r="P20" s="20"/>
      <c r="Q20" s="20"/>
      <c r="R20" s="20"/>
      <c r="S20" s="20"/>
      <c r="T20" s="20"/>
      <c r="U20" s="20"/>
      <c r="V20" s="20"/>
      <c r="W20" s="20"/>
      <c r="X20" s="20"/>
      <c r="Y20" s="21"/>
    </row>
    <row r="21">
      <c r="A21" s="13"/>
      <c r="B21" s="42" t="s">
        <v>33</v>
      </c>
      <c r="C21" s="14"/>
      <c r="D21" s="46" t="str">
        <f ca="1">IF(OR(Datos!B10="VOLUNTARIO",Datos!B10=""),"SIN CONVENIO",Datos!B17)</f>
        <v xml:space="preserve">Parser error at line 0, character 63: syntax error; ("[&lt;IndicadorProceso&gt;][[Dimension] = 'El camino de la propiedad '{FAILED HERE}CUIT'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].max([Proceso.FechaReferencia])].sum([Valor])")</v>
      </c>
      <c r="E21" s="14"/>
      <c r="F21" s="14"/>
      <c r="G21" s="14"/>
      <c r="H21" s="44"/>
      <c r="I21" s="14"/>
      <c r="J21" s="14"/>
      <c r="K21" s="44"/>
      <c r="L21" s="47"/>
      <c r="M21" s="48" t="s">
        <v>34</v>
      </c>
      <c r="N21" s="49"/>
      <c r="O21" s="14"/>
      <c r="P21" s="20"/>
      <c r="Q21" s="20"/>
      <c r="R21" s="20"/>
      <c r="S21" s="20"/>
      <c r="T21" s="20"/>
      <c r="U21" s="20"/>
      <c r="V21" s="20"/>
      <c r="W21" s="20"/>
      <c r="X21" s="20"/>
      <c r="Y21" s="21"/>
    </row>
    <row r="22">
      <c r="A22" s="13"/>
      <c r="B22" s="42" t="s">
        <v>35</v>
      </c>
      <c r="C22" s="14"/>
      <c r="D22" s="46" t="str">
        <f ca="1">Datos!B18</f>
        <v>El camino de la propiedad 'CupoTitular' no es correcto para el tipo 'ClasesBase.HojaCalculo'.</v>
      </c>
      <c r="E22" s="14"/>
      <c r="F22" s="14"/>
      <c r="G22" s="14"/>
      <c r="H22" s="44"/>
      <c r="I22" s="14"/>
      <c r="J22" s="14"/>
      <c r="K22" s="44"/>
      <c r="L22" s="47"/>
      <c r="M22" s="50" t="s">
        <v>36</v>
      </c>
      <c r="N22" s="51" t="e">
        <f ca="1">AMEJUCA!F20</f>
        <v>#VALUE!</v>
      </c>
      <c r="O22" s="14"/>
      <c r="P22" s="20"/>
      <c r="Q22" s="20"/>
      <c r="R22" s="20"/>
      <c r="S22" s="20"/>
      <c r="T22" s="20"/>
      <c r="U22" s="20"/>
      <c r="V22" s="20"/>
      <c r="W22" s="20"/>
      <c r="X22" s="20"/>
      <c r="Y22" s="21"/>
    </row>
    <row r="23">
      <c r="A23" s="13"/>
      <c r="B23" s="42" t="s">
        <v>37</v>
      </c>
      <c r="C23" s="14"/>
      <c r="D23" s="46" t="str">
        <f ca="1">IF(AND(D22&lt;&gt;"",D22&lt;&gt;0),D22,D21)</f>
        <v>El camino de la propiedad 'CupoTitular' no es correcto para el tipo 'ClasesBase.HojaCalculo'.</v>
      </c>
      <c r="E23" s="14" t="str">
        <f ca="1">IF(D23="CARGAR CUPO","REVISAR",IF(D23&gt;=D26,"APROBADO","RECHAZADO"))</f>
        <v>APROBADO</v>
      </c>
      <c r="F23" s="14"/>
      <c r="G23" s="14"/>
      <c r="H23" s="44"/>
      <c r="I23" s="14"/>
      <c r="J23" s="14"/>
      <c r="K23" s="44"/>
      <c r="L23" s="47"/>
      <c r="M23" s="50" t="s">
        <v>38</v>
      </c>
      <c r="N23" s="51" t="e" cm="1">
        <f ca="1">'CRUZ DE EJE'!F20</f>
        <v>#VALUE!</v>
      </c>
      <c r="O23" s="14"/>
      <c r="P23" s="20"/>
      <c r="Q23" s="20"/>
      <c r="R23" s="20"/>
      <c r="S23" s="20"/>
      <c r="T23" s="20"/>
      <c r="U23" s="20"/>
      <c r="V23" s="20"/>
      <c r="W23" s="20"/>
      <c r="X23" s="20"/>
      <c r="Y23" s="21"/>
    </row>
    <row r="24">
      <c r="A24" s="13"/>
      <c r="B24" s="42" t="s">
        <v>39</v>
      </c>
      <c r="C24" s="14"/>
      <c r="D24" s="46" t="str">
        <f ca="1">Datos!B19</f>
        <v>Parser error at line 0, character 42: syntax error; ("[&lt;Prestamo&gt;][[SocioTitular.Socio.CUIT]=El {FAILED HERE}camino de la propiedad 'CUIT' no es correcto para el tipo 'ClasesBase.HojaCalculo'.].Sum([DeudaTotal])")</v>
      </c>
      <c r="E24" s="14"/>
      <c r="F24" s="14"/>
      <c r="G24" s="14"/>
      <c r="H24" s="52" t="str">
        <f ca="1">IF(H18="","",Datos!B32)</f>
        <v>Parser error at line 0, character 42: syntax error; ("[&lt;Prestamo&gt;][[SocioTitular.Socio.CUIT]=El {FAILED HERE}camino de la propiedad 'Adicional1.CUIT' no es correcto para el tipo 'ClasesBase.HojaCalculo'.].Sum([DeudaTotal])")</v>
      </c>
      <c r="I24" s="14"/>
      <c r="J24" s="14"/>
      <c r="K24" s="52" t="str">
        <f ca="1">IF(K18="","",Datos!B45)</f>
        <v>Parser error at line 0, character 42: syntax error; ("[&lt;Prestamo&gt;][[SocioTitular.Socio.CUIT]=El {FAILED HERE}camino de la propiedad 'Adicional2.CUIT' no es correcto para el tipo 'ClasesBase.HojaCalculo'.].Sum([DeudaTotal])")</v>
      </c>
      <c r="L24" s="47"/>
      <c r="M24" s="50" t="s">
        <v>40</v>
      </c>
      <c r="N24" s="51">
        <f>AMPERPAG!E36</f>
        <v>0</v>
      </c>
      <c r="O24" s="14"/>
      <c r="P24" s="20"/>
      <c r="Q24" s="20"/>
      <c r="R24" s="20"/>
      <c r="S24" s="20"/>
      <c r="T24" s="20"/>
      <c r="U24" s="20"/>
      <c r="V24" s="20"/>
      <c r="W24" s="20"/>
      <c r="X24" s="20"/>
      <c r="Y24" s="21"/>
    </row>
    <row r="25">
      <c r="A25" s="13"/>
      <c r="B25" s="42" t="s">
        <v>41</v>
      </c>
      <c r="C25" s="14"/>
      <c r="D25" s="46" t="str">
        <f ca="1">Datos!B20</f>
        <v>Parser error at line 0, character 108: syntax error; ("[&lt;CuotaPrestamo&gt;][IsNextMonth([Fecha]) And [FechaCobro] Is Null And [Prestamo.Integrantes][[Socio.CUIT] =El {FAILED HERE}camino de la propiedad 'CUIT' no es correcto para el tipo 'ClasesBase.HojaCalculo'.]].Sum([MontoTotal])")</v>
      </c>
      <c r="E25" s="14"/>
      <c r="F25" s="14"/>
      <c r="G25" s="14"/>
      <c r="H25" s="52" t="str">
        <f ca="1">IF(H18="","",Datos!B33)</f>
        <v>Parser error at line 0, character 108: syntax error; ("[&lt;CuotaPrestamo&gt;][IsNextMonth([Fecha]) And [FechaCobro] Is Null And [Prestamo.Integrantes][[Socio.CUIT] =El {FAILED HERE}camino de la propiedad 'Adicional1.CUIT' no es correcto para el tipo 'ClasesBase.HojaCalculo'.]].Sum([MontoTotal])")</v>
      </c>
      <c r="I25" s="14"/>
      <c r="J25" s="14"/>
      <c r="K25" s="52" t="str">
        <f ca="1">IF(K18="","",Datos!B46)</f>
        <v>Parser error at line 0, character 108: syntax error; ("[&lt;CuotaPrestamo&gt;][IsNextMonth([Fecha]) And [FechaCobro] Is Null And [Prestamo.Integrantes][[Socio.CUIT] =El {FAILED HERE}camino de la propiedad 'Adicional2.CUIT' no es correcto para el tipo 'ClasesBase.HojaCalculo'.]].Sum([MontoTotal])")</v>
      </c>
      <c r="L25" s="47"/>
      <c r="M25" s="50" t="s">
        <v>42</v>
      </c>
      <c r="N25" s="51">
        <f>MUDON!D31</f>
        <v>0</v>
      </c>
      <c r="O25" s="14"/>
      <c r="P25" s="20"/>
      <c r="Q25" s="20"/>
      <c r="R25" s="20"/>
      <c r="S25" s="20"/>
      <c r="T25" s="20"/>
      <c r="U25" s="20"/>
      <c r="V25" s="20"/>
      <c r="W25" s="20"/>
      <c r="X25" s="20"/>
      <c r="Y25" s="21"/>
    </row>
    <row r="26">
      <c r="A26" s="13"/>
      <c r="B26" s="42" t="s">
        <v>43</v>
      </c>
      <c r="C26" s="14"/>
      <c r="D26" s="46" t="str">
        <f ca="1">M11</f>
        <v>El camino de la propiedad 'CuotaResultante' no es correcto para el tipo 'ClasesBase.HojaCalculo'.</v>
      </c>
      <c r="E26" s="14"/>
      <c r="F26" s="14"/>
      <c r="G26" s="14"/>
      <c r="H26" s="52" t="e">
        <f ca="1">IF(H18="","",H25+M11)</f>
        <v>#VALUE!</v>
      </c>
      <c r="I26" s="14"/>
      <c r="J26" s="14"/>
      <c r="K26" s="52" t="e">
        <f ca="1">IF(K18="","",K25+M11)</f>
        <v>#VALUE!</v>
      </c>
      <c r="L26" s="47"/>
      <c r="M26" s="50" t="s">
        <v>44</v>
      </c>
      <c r="N26" s="51">
        <f>CBU!E20</f>
        <v>0</v>
      </c>
      <c r="O26" s="14"/>
      <c r="P26" s="20"/>
      <c r="Q26" s="20"/>
      <c r="R26" s="20"/>
      <c r="S26" s="20"/>
      <c r="T26" s="20"/>
      <c r="U26" s="20"/>
      <c r="V26" s="20"/>
      <c r="W26" s="20"/>
      <c r="X26" s="20"/>
      <c r="Y26" s="21"/>
    </row>
    <row r="27">
      <c r="A27" s="13"/>
      <c r="B27" s="42" t="s">
        <v>45</v>
      </c>
      <c r="C27" s="14"/>
      <c r="D27" s="44" t="str">
        <f ca="1">Datos!B21</f>
        <v>NO</v>
      </c>
      <c r="E27" s="14" t="str">
        <f ca="1">IF(D27="SI","RECHAZADO","APROBADO")</f>
        <v>APROBADO</v>
      </c>
      <c r="F27" s="14"/>
      <c r="G27" s="14"/>
      <c r="H27" s="44" t="str">
        <f ca="1">IF(H18="","",Datos!B34)</f>
        <v>NO</v>
      </c>
      <c r="I27" s="14" t="str">
        <f ca="1">IF(H27="SI","RECHAZADO","APROBADO")</f>
        <v>APROBADO</v>
      </c>
      <c r="J27" s="14"/>
      <c r="K27" s="44" t="str">
        <f ca="1">IF(K18="","",Datos!B47)</f>
        <v>NO</v>
      </c>
      <c r="L27" s="47" t="str">
        <f ca="1">IF(K27="SI","RECHAZADO","APROBADO")</f>
        <v>APROBADO</v>
      </c>
      <c r="M27" s="50" t="s">
        <v>46</v>
      </c>
      <c r="N27" s="51" t="e">
        <f ca="1">CAJA!F18</f>
        <v>#VALUE!</v>
      </c>
      <c r="O27" s="14"/>
      <c r="P27" s="20"/>
      <c r="Q27" s="20"/>
      <c r="R27" s="20"/>
      <c r="S27" s="20"/>
      <c r="T27" s="20"/>
      <c r="U27" s="20"/>
      <c r="V27" s="20"/>
      <c r="W27" s="20"/>
      <c r="X27" s="20"/>
      <c r="Y27" s="21"/>
    </row>
    <row r="28">
      <c r="A28" s="13"/>
      <c r="B28" s="42" t="s">
        <v>47</v>
      </c>
      <c r="C28" s="14"/>
      <c r="D28" s="44" t="str">
        <f ca="1">Datos!B22</f>
        <v>Parser error at line 0, character 26: syntax error; ("[&lt;SocioMutual&gt;][[CUIT]=El {FAILED HERE}camino de la propiedad 'CUIT' no es correcto para el tipo 'ClasesBase.HojaCalculo'.].Max([Renovaciones Final])")</v>
      </c>
      <c r="E28" s="14" t="str">
        <f ca="1">IF(OR(D28="Prestamo Reciente",D28="Lista Negra"),"RECHAZADO","APROBADO")</f>
        <v>APROBADO</v>
      </c>
      <c r="F28" s="14"/>
      <c r="G28" s="14"/>
      <c r="H28" s="44" t="str">
        <f ca="1">IF(H18="","",Datos!B35)</f>
        <v>Parser error at line 0, character 26: syntax error; ("[&lt;SocioMutual&gt;][[CUIT]=El {FAILED HERE}camino de la propiedad 'Adicional1.CUIT' no es correcto para el tipo 'ClasesBase.HojaCalculo'.].Max([Renovaciones Final])")</v>
      </c>
      <c r="I28" s="14" t="str">
        <f ca="1">IF(OR(H28="Prestamo Reciente",H28="Lista Negra"),"RECHAZADO","APROBADO")</f>
        <v>APROBADO</v>
      </c>
      <c r="J28" s="14"/>
      <c r="K28" s="44" t="str">
        <f ca="1">IF(K18="","",Datos!B48)</f>
        <v>Parser error at line 0, character 26: syntax error; ("[&lt;SocioMutual&gt;][[CUIT]=El {FAILED HERE}camino de la propiedad 'Adicional2.CUIT' no es correcto para el tipo 'ClasesBase.HojaCalculo'.].Max([Renovaciones Final])")</v>
      </c>
      <c r="L28" s="47" t="str">
        <f ca="1">IF(OR(K28="Prestamo Reciente",K28="Lista Negra"),"RECHAZADO","APROBADO")</f>
        <v>APROBADO</v>
      </c>
      <c r="M28" s="14"/>
      <c r="N28" s="14"/>
      <c r="O28" s="14"/>
      <c r="P28" s="20"/>
      <c r="Q28" s="20"/>
      <c r="R28" s="20"/>
      <c r="S28" s="20"/>
      <c r="T28" s="20"/>
      <c r="U28" s="20"/>
      <c r="V28" s="20"/>
      <c r="W28" s="20"/>
      <c r="X28" s="20"/>
      <c r="Y28" s="21"/>
    </row>
    <row r="29">
      <c r="A29" s="13"/>
      <c r="B29" s="42" t="s">
        <v>48</v>
      </c>
      <c r="C29" s="14"/>
      <c r="D29" s="44" t="str">
        <f ca="1">Datos!B23</f>
        <v>SI</v>
      </c>
      <c r="E29" s="14" t="str">
        <f ca="1">IF(D29="SI","RECHAZADO","APROBADO")</f>
        <v>RECHAZADO</v>
      </c>
      <c r="F29" s="14"/>
      <c r="G29" s="14"/>
      <c r="H29" s="44" t="str">
        <f ca="1">IF(H18="","",Datos!B36)</f>
        <v>SI</v>
      </c>
      <c r="I29" s="14" t="str">
        <f ca="1">IF(H29="SI","RECHAZADO","APROBADO")</f>
        <v>RECHAZADO</v>
      </c>
      <c r="J29" s="14"/>
      <c r="K29" s="44" t="str">
        <f ca="1">IF(K18="","",Datos!B49)</f>
        <v>SI</v>
      </c>
      <c r="L29" s="47" t="str">
        <f ca="1">IF(K29="SI","RECHAZADO","APROBADO")</f>
        <v>RECHAZADO</v>
      </c>
      <c r="M29" s="14"/>
      <c r="N29" s="14"/>
      <c r="O29" s="14"/>
      <c r="P29" s="20"/>
      <c r="Q29" s="20"/>
      <c r="R29" s="20"/>
      <c r="S29" s="20"/>
      <c r="T29" s="20"/>
      <c r="U29" s="20"/>
      <c r="V29" s="20"/>
      <c r="W29" s="20"/>
      <c r="X29" s="20"/>
      <c r="Y29" s="21"/>
    </row>
    <row r="30">
      <c r="A30" s="13"/>
      <c r="B30" s="42" t="s">
        <v>49</v>
      </c>
      <c r="C30" s="14"/>
      <c r="D30" s="44">
        <f ca="1">Datos!B24</f>
        <v>1</v>
      </c>
      <c r="E30" s="14" t="str">
        <f ca="1">IF(D30="","REVISAR",VLOOKUP(D30,'Parametros Fijos'!C3:D7,2,FALSE))</f>
        <v>APROBADO</v>
      </c>
      <c r="F30" s="14"/>
      <c r="G30" s="14"/>
      <c r="H30" s="44" t="str">
        <f ca="1">IF(H$18="","",Datos!B37)</f>
        <v/>
      </c>
      <c r="I30" s="14" t="str">
        <f ca="1">IF(H18="","APROBADO",IF(H30="","REVISAR",VLOOKUP(H30,'Parametros Fijos'!C3:D7,2,FALSE)))</f>
        <v>REVISAR</v>
      </c>
      <c r="J30" s="14"/>
      <c r="K30" s="44" t="str">
        <f ca="1">IF(K18="","",Datos!B50)</f>
        <v/>
      </c>
      <c r="L30" s="47" t="str">
        <f ca="1">IF(K18="","APROBADO",IF(K30="","REVISAR",VLOOKUP(K30,'Parametros Fijos'!C3:D7,2,FALSE)))</f>
        <v>REVISAR</v>
      </c>
      <c r="M30" s="14"/>
      <c r="N30" s="14"/>
      <c r="O30" s="14"/>
      <c r="P30" s="20"/>
      <c r="Q30" s="20"/>
      <c r="R30" s="20"/>
      <c r="S30" s="20"/>
      <c r="T30" s="20"/>
      <c r="U30" s="20"/>
      <c r="V30" s="20"/>
      <c r="W30" s="20"/>
      <c r="X30" s="20"/>
      <c r="Y30" s="21"/>
    </row>
    <row r="31">
      <c r="A31" s="13"/>
      <c r="B31" s="42" t="s">
        <v>50</v>
      </c>
      <c r="C31" s="14"/>
      <c r="D31" s="44">
        <f ca="1">Datos!B25</f>
        <v>1</v>
      </c>
      <c r="E31" s="14" t="str">
        <f ca="1">IF(D31="","REVISAR",VLOOKUP(D31,'Parametros Fijos'!C3:D7,2,FALSE))</f>
        <v>APROBADO</v>
      </c>
      <c r="F31" s="14"/>
      <c r="G31" s="14"/>
      <c r="H31" s="45" t="str">
        <f ca="1">IF(H$18="","",Datos!B38)</f>
        <v/>
      </c>
      <c r="I31" s="14" t="str">
        <f ca="1">IF(H18="","APROBADO",IF(H31="","REVISAR",VLOOKUP(H31,'Parametros Fijos'!C3:D7,2,FALSE)))</f>
        <v>REVISAR</v>
      </c>
      <c r="J31" s="14"/>
      <c r="K31" s="45" t="str">
        <f ca="1">IF(K18="","",Datos!B51)</f>
        <v/>
      </c>
      <c r="L31" s="47" t="str">
        <f ca="1">IF(K18="","APROBADO",IF(K31="","REVISAR",VLOOKUP(K31,'Parametros Fijos'!C3:D7,2,FALSE)))</f>
        <v>REVISAR</v>
      </c>
      <c r="M31" s="14"/>
      <c r="N31" s="14"/>
      <c r="O31" s="14"/>
      <c r="P31" s="20"/>
      <c r="Q31" s="20"/>
      <c r="R31" s="20"/>
      <c r="S31" s="20"/>
      <c r="T31" s="20"/>
      <c r="U31" s="20"/>
      <c r="V31" s="20"/>
      <c r="W31" s="20"/>
      <c r="X31" s="20"/>
      <c r="Y31" s="21"/>
    </row>
    <row r="32">
      <c r="A32" s="13"/>
      <c r="B32" s="42" t="s">
        <v>51</v>
      </c>
      <c r="C32" s="14"/>
      <c r="D32" s="52" t="str">
        <f ca="1">Datos!B26</f>
        <v>El camino de la propiedad 'MontoRecibo' no es correcto para el tipo 'ClasesBase.HojaCalculo'.</v>
      </c>
      <c r="E32" s="14"/>
      <c r="F32" s="14"/>
      <c r="G32" s="14"/>
      <c r="H32" s="52" t="str">
        <f ca="1">IF(H18="","",Datos!B39)</f>
        <v>El camino de la propiedad 'Adicional1.IngresoMensual' no es correcto para el tipo 'ClasesBase.HojaCalculo'.</v>
      </c>
      <c r="I32" s="14"/>
      <c r="J32" s="14"/>
      <c r="K32" s="52" t="str">
        <f ca="1">IF(K18="","",Datos!B52)</f>
        <v>El camino de la propiedad 'Adicional2.IngresoMensual' no es correcto para el tipo 'ClasesBase.HojaCalculo'.</v>
      </c>
      <c r="L32" s="47"/>
      <c r="M32" s="14"/>
      <c r="N32" s="14"/>
      <c r="O32" s="14"/>
      <c r="P32" s="20"/>
      <c r="Q32" s="20"/>
      <c r="R32" s="20"/>
      <c r="S32" s="20"/>
      <c r="T32" s="20"/>
      <c r="U32" s="20"/>
      <c r="V32" s="20"/>
      <c r="W32" s="20"/>
      <c r="X32" s="20"/>
      <c r="Y32" s="21"/>
    </row>
    <row r="33">
      <c r="A33" s="13"/>
      <c r="B33" s="42" t="s">
        <v>52</v>
      </c>
      <c r="C33" s="14"/>
      <c r="D33" s="53" t="str">
        <f ca="1">Datos!B27</f>
        <v>El camino de la propiedad 'Antiguedad' no es correcto para el tipo 'ClasesBase.HojaCalculo'.</v>
      </c>
      <c r="E33" s="14" t="str">
        <f ca="1">IF(D33&gt;='Parametros Fijos'!C8,'Parametros Fijos'!D8,IF(D33&gt;='Parametros Fijos'!C9,'Parametros Fijos'!D9,"RECHAZADO"))</f>
        <v>APROBADO</v>
      </c>
      <c r="F33" s="14"/>
      <c r="G33" s="14"/>
      <c r="H33" s="53" t="str">
        <f ca="1">IF(H18="","",Datos!B40)</f>
        <v>El camino de la propiedad 'Adicional1.AntiguedadLaboralMeses' no es correcto para el tipo 'ClasesBase.HojaCalculo'.</v>
      </c>
      <c r="I33" s="14" t="str">
        <f ca="1">IF(H33&gt;='Parametros Fijos'!C8,'Parametros Fijos'!D8,IF(H33&gt;='Parametros Fijos'!C9,'Parametros Fijos'!D9,"RECHAZADO"))</f>
        <v>APROBADO</v>
      </c>
      <c r="J33" s="14"/>
      <c r="K33" s="53" t="str">
        <f ca="1">IF(K18="","",Datos!B53)</f>
        <v>El camino de la propiedad 'Adicional2.AntiguedadLaboralMeses' no es correcto para el tipo 'ClasesBase.HojaCalculo'.</v>
      </c>
      <c r="L33" s="47" t="str">
        <f ca="1">IF(K33&gt;='Parametros Fijos'!C8,'Parametros Fijos'!D8,IF(K33&gt;='Parametros Fijos'!C9,'Parametros Fijos'!D9,"RECHAZADO"))</f>
        <v>APROBADO</v>
      </c>
      <c r="M33" s="14"/>
      <c r="N33" s="14"/>
      <c r="O33" s="14"/>
      <c r="P33" s="20"/>
      <c r="Q33" s="20"/>
      <c r="R33" s="20"/>
      <c r="S33" s="20"/>
      <c r="T33" s="20"/>
      <c r="U33" s="20"/>
      <c r="V33" s="20"/>
      <c r="W33" s="20"/>
      <c r="X33" s="20"/>
      <c r="Y33" s="21"/>
    </row>
    <row r="34" s="1" customFormat="1" ht="3.75" customHeight="1">
      <c r="A34" s="22"/>
      <c r="B34" s="54"/>
      <c r="C34" s="23"/>
      <c r="D34" s="55"/>
      <c r="E34" s="23"/>
      <c r="F34" s="23"/>
      <c r="G34" s="23"/>
      <c r="H34" s="56"/>
      <c r="I34" s="23"/>
      <c r="J34" s="23"/>
      <c r="K34" s="57"/>
      <c r="L34" s="56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0"/>
      <c r="Q35" s="20"/>
      <c r="R35" s="20"/>
      <c r="S35" s="20"/>
      <c r="T35" s="20"/>
      <c r="U35" s="20"/>
      <c r="V35" s="20"/>
      <c r="W35" s="20"/>
      <c r="X35" s="20"/>
      <c r="Y35" s="21"/>
    </row>
    <row r="36">
      <c r="A36" s="27" t="s">
        <v>53</v>
      </c>
      <c r="B36" s="42" t="s">
        <v>37</v>
      </c>
      <c r="C36" s="14" t="e">
        <f>MIN(AMPERPAG!E36,MUDON!#REF!,CBU!#REF!,'CRUZ DE EJE'!H14,AMEJUCA!H14)</f>
        <v>#REF!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0"/>
      <c r="Q36" s="20"/>
      <c r="R36" s="20"/>
      <c r="S36" s="20"/>
      <c r="T36" s="20"/>
      <c r="U36" s="20"/>
      <c r="V36" s="20"/>
      <c r="W36" s="20"/>
      <c r="X36" s="20"/>
      <c r="Y36" s="21"/>
    </row>
    <row r="37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20"/>
      <c r="Q37" s="20"/>
      <c r="R37" s="20"/>
      <c r="S37" s="20"/>
      <c r="T37" s="20"/>
      <c r="U37" s="20"/>
      <c r="V37" s="20"/>
      <c r="W37" s="20"/>
      <c r="X37" s="20"/>
      <c r="Y37" s="21"/>
    </row>
    <row r="38" thickBot="1" ht="15.7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60"/>
      <c r="Q38" s="60"/>
      <c r="R38" s="60"/>
      <c r="S38" s="60"/>
      <c r="T38" s="60"/>
      <c r="U38" s="60"/>
      <c r="V38" s="60"/>
      <c r="W38" s="60"/>
      <c r="X38" s="60"/>
      <c r="Y38" s="61"/>
    </row>
    <row r="101">
      <c r="A101" s="6" t="s">
        <v>54</v>
      </c>
    </row>
    <row r="102">
      <c r="C102" s="6" t="s">
        <v>55</v>
      </c>
      <c r="D102" s="6" t="s">
        <v>56</v>
      </c>
      <c r="G102" s="6" t="s">
        <v>57</v>
      </c>
      <c r="K102" s="6" t="s">
        <v>58</v>
      </c>
      <c r="L102" s="6"/>
      <c r="M102" s="6"/>
    </row>
    <row r="103">
      <c r="C103" s="6" t="s">
        <v>13</v>
      </c>
      <c r="D103" s="6" t="str">
        <f ca="1">D7</f>
        <v>REVISAR</v>
      </c>
      <c r="G103" s="6" t="str">
        <f ca="1" t="shared" ref="G103" si="0">IF(D103="RECHAZADO","DETENER Y RECHAZAR","CONTINUAR")</f>
        <v>CONTINUAR</v>
      </c>
      <c r="K103" s="6" t="str">
        <f ca="1">IF(G103="DETENER Y RECHAZAR","RECHAZADA","APROBADA")</f>
        <v>APROBADA</v>
      </c>
      <c r="L103" s="6"/>
      <c r="N103" s="6" t="s">
        <v>59</v>
      </c>
    </row>
    <row r="104">
      <c r="C104" s="6" t="s">
        <v>14</v>
      </c>
      <c r="D104" s="6" t="str">
        <f ca="1">G7</f>
        <v>REVISAR</v>
      </c>
      <c r="G104" s="6" t="str">
        <f ca="1">IF(G103="DETENER Y RECHAZAR","",IF(D104="RECHAZADO","DETENER Y RECHAZAR","CONTINUAR"))</f>
        <v>CONTINUAR</v>
      </c>
      <c r="K104" s="6" t="str">
        <f ca="1">IF(G104="","",IF(G104="DETENER Y RECHAZAR","RECHAZADA","APROBADA"))</f>
        <v>APROBADA</v>
      </c>
      <c r="L104" s="6"/>
      <c r="N104" s="6" t="s">
        <v>60</v>
      </c>
    </row>
    <row r="105">
      <c r="C105" s="6" t="s">
        <v>15</v>
      </c>
      <c r="D105" s="6" t="str">
        <f ca="1">J7</f>
        <v>APROBADO</v>
      </c>
      <c r="G105" s="6" t="str">
        <f ca="1">IF(OR(G104="",G104="DETENER Y RECHAZAR"),"",IF(D105="RECHAZADO","DETENER Y RECHAZAR","CONTINUAR"))</f>
        <v>CONTINUAR</v>
      </c>
      <c r="K105" s="6" t="str">
        <f ca="1">IF(G105="","",IF(G105="DETENER Y RECHAZAR","RECHAZADA","APROBADA"))</f>
        <v>APROBADA</v>
      </c>
      <c r="L105" s="6"/>
      <c r="N105" s="6" t="s">
        <v>61</v>
      </c>
    </row>
    <row r="106">
      <c r="C106" s="6" t="s">
        <v>10</v>
      </c>
      <c r="D106" s="6" t="str">
        <f ca="1">M9</f>
        <v>REVISAR</v>
      </c>
      <c r="G106" s="6" t="str">
        <f ca="1">IF(OR(G103="DETENER Y RECHAZAR",G104="DETENER Y RECHAZAR",G105="DETENER Y RECHAZAR"),"DETENER Y RECHAZAR","REVISAR")</f>
        <v>REVISAR</v>
      </c>
      <c r="K106" s="6" t="str">
        <f ca="1">IF(OR(K105="DETENER Y RECHAZAR",K105=""),"","REVISAR")</f>
        <v>REVISAR</v>
      </c>
      <c r="L106" s="6"/>
      <c r="N106" s="6" t="s">
        <v>62</v>
      </c>
    </row>
  </sheetData>
  <mergeCells count="9">
    <mergeCell ref="C9:E9"/>
    <mergeCell ref="F9:H9"/>
    <mergeCell ref="I9:K9"/>
    <mergeCell ref="M9:O9"/>
    <mergeCell ref="M8:O8"/>
    <mergeCell ref="C1:I2"/>
    <mergeCell ref="M21:N21"/>
    <mergeCell ref="J1:J2"/>
    <mergeCell ref="K1:K2"/>
  </mergeCells>
  <conditionalFormatting sqref="K31">
    <cfRule priority="1" dxfId="0" type="expression">
      <formula>$L$31="REVISAR"</formula>
    </cfRule>
    <cfRule priority="4" dxfId="1" type="expression">
      <formula>$L$31="RECHAZADO"</formula>
    </cfRule>
  </conditionalFormatting>
  <conditionalFormatting sqref="H31">
    <cfRule priority="5" dxfId="1" type="expression">
      <formula>$I$31="RECHAZADO"</formula>
    </cfRule>
    <cfRule priority="6" dxfId="0" type="expression">
      <formula>$I$31="REVISAR"</formula>
    </cfRule>
  </conditionalFormatting>
  <conditionalFormatting sqref="D31">
    <cfRule priority="7" dxfId="1" type="expression">
      <formula>$E$31="RECHAZADO"</formula>
    </cfRule>
    <cfRule priority="8" dxfId="0" type="expression">
      <formula>$E$31="REVISAR"</formula>
    </cfRule>
  </conditionalFormatting>
  <conditionalFormatting sqref="K33">
    <cfRule priority="9" dxfId="2" type="expression">
      <formula>$L$33="REVISAR"</formula>
    </cfRule>
    <cfRule priority="10" dxfId="3" type="expression">
      <formula>$L$33="RECHAZADO"</formula>
    </cfRule>
  </conditionalFormatting>
  <conditionalFormatting sqref="K30">
    <cfRule priority="11" dxfId="2" type="expression">
      <formula>$L$30="REVISAR"</formula>
    </cfRule>
    <cfRule priority="12" dxfId="3" type="expression">
      <formula>$L$30="RECHAZADO"</formula>
    </cfRule>
  </conditionalFormatting>
  <conditionalFormatting sqref="K29">
    <cfRule priority="13" dxfId="4" type="expression">
      <formula>$L$29="REVISAR"</formula>
    </cfRule>
    <cfRule priority="14" dxfId="3" type="expression">
      <formula>$L$29="RECHAZADO"</formula>
    </cfRule>
  </conditionalFormatting>
  <conditionalFormatting sqref="K28">
    <cfRule priority="15" dxfId="2" type="expression">
      <formula>$L$28="REVISAR"</formula>
    </cfRule>
    <cfRule priority="16" dxfId="3" type="expression">
      <formula>$L$28="RECHAZADO"</formula>
    </cfRule>
  </conditionalFormatting>
  <conditionalFormatting sqref="K27">
    <cfRule priority="17" dxfId="4" type="expression">
      <formula>$L$27="REVISAR"</formula>
    </cfRule>
    <cfRule priority="18" dxfId="3" type="expression">
      <formula>$L$27="RECHAZADO"</formula>
    </cfRule>
  </conditionalFormatting>
  <conditionalFormatting sqref="H33">
    <cfRule priority="19" dxfId="2" type="expression">
      <formula>$I$33="REVISAR"</formula>
    </cfRule>
    <cfRule priority="20" dxfId="3" type="expression">
      <formula>$I$33="RECHAZADO"</formula>
    </cfRule>
  </conditionalFormatting>
  <conditionalFormatting sqref="H30">
    <cfRule priority="21" dxfId="2" type="expression">
      <formula>$I$30="REVISAR"</formula>
    </cfRule>
    <cfRule priority="22" dxfId="3" type="expression">
      <formula>$I$30="RECHAZADO"</formula>
    </cfRule>
  </conditionalFormatting>
  <conditionalFormatting sqref="H29">
    <cfRule priority="23" dxfId="2" type="expression">
      <formula>$I$29="REVISAR"</formula>
    </cfRule>
    <cfRule priority="24" dxfId="3" type="expression">
      <formula>$I$29="RECHAZADO"</formula>
    </cfRule>
  </conditionalFormatting>
  <conditionalFormatting sqref="H28">
    <cfRule priority="25" dxfId="2" type="expression">
      <formula>$I$28="REVISAR"</formula>
    </cfRule>
    <cfRule priority="26" dxfId="3" type="expression">
      <formula>$I$28="RECHAZADO"</formula>
    </cfRule>
  </conditionalFormatting>
  <conditionalFormatting sqref="H27">
    <cfRule priority="27" dxfId="2" type="expression">
      <formula>$I$27="REVISAR"</formula>
    </cfRule>
    <cfRule priority="28" dxfId="3" type="expression">
      <formula>$I$27="RECHAZADO"</formula>
    </cfRule>
  </conditionalFormatting>
  <conditionalFormatting sqref="D33:D34">
    <cfRule priority="29" dxfId="2" type="expression">
      <formula>$E$33="REVISAR"</formula>
    </cfRule>
    <cfRule priority="30" dxfId="3" type="expression">
      <formula>$E$33="RECHAZADO"</formula>
    </cfRule>
  </conditionalFormatting>
  <conditionalFormatting sqref="D30">
    <cfRule priority="31" dxfId="2" type="expression">
      <formula>$E$30="REVISAR"</formula>
    </cfRule>
    <cfRule priority="32" dxfId="3" type="expression">
      <formula>$E$30="RECHAZADO"</formula>
    </cfRule>
  </conditionalFormatting>
  <conditionalFormatting sqref="D29">
    <cfRule priority="33" dxfId="2" type="expression">
      <formula>$E$29="REVISAR"</formula>
    </cfRule>
    <cfRule priority="34" dxfId="3" type="expression">
      <formula>$E$29="RECHAZADO"</formula>
    </cfRule>
  </conditionalFormatting>
  <conditionalFormatting sqref="D28">
    <cfRule priority="35" dxfId="2" type="expression">
      <formula>$E$28="REVISAR"</formula>
    </cfRule>
    <cfRule priority="36" dxfId="3" type="expression">
      <formula>$E$28="RECHAZADO"</formula>
    </cfRule>
  </conditionalFormatting>
  <conditionalFormatting sqref="D27">
    <cfRule priority="37" dxfId="2" type="expression">
      <formula>$E$27="REVISAR"</formula>
    </cfRule>
    <cfRule priority="38" dxfId="3" type="expression">
      <formula>$E$27="RECHAZADO"</formula>
    </cfRule>
  </conditionalFormatting>
  <conditionalFormatting sqref="D26 D21:D23">
    <cfRule priority="39" dxfId="2" type="expression">
      <formula>$E$23="REVISAR"</formula>
    </cfRule>
    <cfRule priority="40" dxfId="5" type="expression">
      <formula>$E$23="RECHAZADO"</formula>
    </cfRule>
  </conditionalFormatting>
  <conditionalFormatting sqref="F9:H9">
    <cfRule priority="41" dxfId="6" type="expression">
      <formula>$G$7="APROBADO"</formula>
    </cfRule>
    <cfRule priority="42" dxfId="0" type="expression">
      <formula>$G$7="REVISAR"</formula>
    </cfRule>
    <cfRule priority="43" dxfId="1" type="expression">
      <formula>$G$7="RECHAZADO"</formula>
    </cfRule>
  </conditionalFormatting>
  <conditionalFormatting sqref="M9">
    <cfRule priority="44" dxfId="6" type="expression">
      <formula>$M$9="PRE-APROBADO"</formula>
    </cfRule>
    <cfRule priority="45" dxfId="0" type="expression">
      <formula>$M$9="REVISAR"</formula>
    </cfRule>
    <cfRule priority="46" dxfId="1" type="expression">
      <formula>$M$9="RECHAZADO"</formula>
    </cfRule>
  </conditionalFormatting>
  <conditionalFormatting sqref="I9:K9">
    <cfRule priority="47" dxfId="6" type="expression">
      <formula>$J$7="APROBADO"</formula>
    </cfRule>
    <cfRule priority="48" dxfId="0" type="expression">
      <formula>$J$7="REVISAR"</formula>
    </cfRule>
    <cfRule priority="49" dxfId="1" type="expression">
      <formula>$J$7="RECHAZADO"</formula>
    </cfRule>
  </conditionalFormatting>
  <conditionalFormatting sqref="C9:E9">
    <cfRule priority="50" dxfId="6" type="expression">
      <formula>$D$7="APROBADO"</formula>
    </cfRule>
    <cfRule priority="51" dxfId="0" type="expression">
      <formula>$D$7="REVISAR"</formula>
    </cfRule>
    <cfRule priority="52" dxfId="1" type="expression">
      <formula>$D$7="RECHAZADO"</formula>
    </cfRule>
  </conditionalFormatting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6" sqref="D6"/>
    </sheetView>
  </sheetViews>
  <sheetFormatPr defaultRowHeight="15"/>
  <cols>
    <col min="2" max="2" width="18.710938" customWidth="1"/>
    <col min="4" max="4" width="18.285156" customWidth="1"/>
  </cols>
  <sheetData>
    <row r="1">
      <c r="A1" t="s">
        <v>63</v>
      </c>
    </row>
    <row r="2">
      <c r="A2" t="s">
        <v>64</v>
      </c>
      <c r="C2" t="s">
        <v>65</v>
      </c>
      <c r="D2" t="s">
        <v>66</v>
      </c>
    </row>
    <row r="3">
      <c r="A3" t="s">
        <v>67</v>
      </c>
      <c r="C3">
        <v>1</v>
      </c>
      <c r="D3" t="s">
        <v>6</v>
      </c>
    </row>
    <row r="4">
      <c r="A4" t="s">
        <v>67</v>
      </c>
      <c r="C4">
        <v>2</v>
      </c>
      <c r="D4" t="s">
        <v>6</v>
      </c>
    </row>
    <row r="5">
      <c r="A5" t="s">
        <v>67</v>
      </c>
      <c r="C5">
        <v>3</v>
      </c>
      <c r="D5" t="s">
        <v>68</v>
      </c>
    </row>
    <row r="6">
      <c r="A6" t="s">
        <v>67</v>
      </c>
      <c r="C6">
        <v>4</v>
      </c>
      <c r="D6" t="s">
        <v>68</v>
      </c>
    </row>
    <row r="7">
      <c r="A7" t="s">
        <v>67</v>
      </c>
      <c r="C7">
        <v>5</v>
      </c>
      <c r="D7" t="s">
        <v>68</v>
      </c>
    </row>
    <row r="8">
      <c r="A8" t="s">
        <v>69</v>
      </c>
      <c r="C8">
        <v>12</v>
      </c>
      <c r="D8" t="s">
        <v>6</v>
      </c>
    </row>
    <row r="9">
      <c r="A9" t="s">
        <v>70</v>
      </c>
      <c r="C9">
        <v>6</v>
      </c>
      <c r="D9" t="s">
        <v>68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3.855469" customWidth="1"/>
    <col min="2" max="2" width="13.5703125" customWidth="1"/>
    <col min="3" max="3" width="16.425781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>
      <c r="A2" t="s">
        <v>77</v>
      </c>
      <c r="B2" t="s">
        <v>78</v>
      </c>
      <c r="C2" t="b">
        <v>1</v>
      </c>
      <c r="D2" t="b">
        <v>0</v>
      </c>
      <c r="E2" t="b">
        <v>0</v>
      </c>
      <c r="F2" t="s">
        <v>79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9" sqref="H9"/>
    </sheetView>
  </sheetViews>
  <sheetFormatPr defaultRowHeight="15"/>
  <cols>
    <col min="1" max="1" width="1.140625" style="4" customWidth="1"/>
    <col min="2" max="2" width="8.425781" style="4" customWidth="1"/>
    <col min="3" max="3" width="34.570312" style="4" customWidth="1"/>
    <col min="4" max="4" width="12.425781" style="4" customWidth="1"/>
    <col min="5" max="5" width="1.4257812" style="4" customWidth="1"/>
    <col min="6" max="6" width="12.7109375" style="4" customWidth="1"/>
    <col min="7" max="7" width="11.285156" style="4" customWidth="1"/>
    <col min="8" max="8" width="17.855469" style="4" customWidth="1"/>
    <col min="9" max="16384" width="9.140625" style="4"/>
  </cols>
  <sheetData>
    <row r="1">
      <c r="A1" s="4"/>
    </row>
    <row r="2">
      <c r="B2" s="62" t="s">
        <v>36</v>
      </c>
      <c r="C2" s="63"/>
      <c r="D2" s="63"/>
      <c r="E2" s="63"/>
      <c r="F2" s="63"/>
      <c r="G2" s="63"/>
      <c r="H2" s="64"/>
    </row>
    <row r="3" thickBot="1" ht="15.75">
      <c r="B3" s="65"/>
      <c r="C3" s="66"/>
      <c r="D3" s="66"/>
      <c r="E3" s="66"/>
      <c r="F3" s="66"/>
      <c r="G3" s="66"/>
      <c r="H3" s="67"/>
    </row>
    <row r="4" ht="7.5" customHeight="1">
      <c r="B4" s="4"/>
      <c r="C4" s="4"/>
      <c r="D4" s="4"/>
      <c r="E4" s="4"/>
      <c r="F4" s="4"/>
      <c r="G4" s="4"/>
      <c r="H4" s="4"/>
    </row>
    <row r="5">
      <c r="B5" s="68" t="s">
        <v>80</v>
      </c>
      <c r="C5" s="68" t="s">
        <v>81</v>
      </c>
      <c r="D5" s="68" t="s">
        <v>82</v>
      </c>
      <c r="E5" s="4"/>
      <c r="F5" s="69" t="s">
        <v>83</v>
      </c>
      <c r="G5" s="70" t="str">
        <f ca="1">Datos!B16</f>
        <v>El camino de la propiedad 'NombreCompleto' no es correcto para el tipo 'ClasesBase.HojaCalculo'.</v>
      </c>
      <c r="H5" s="71"/>
    </row>
    <row r="6">
      <c r="B6" s="72">
        <v>172</v>
      </c>
      <c r="C6" s="72" t="s">
        <v>84</v>
      </c>
      <c r="D6" s="73"/>
      <c r="E6" s="4"/>
      <c r="F6" s="74" t="s">
        <v>85</v>
      </c>
      <c r="G6" s="75" t="str">
        <f ca="1">Datos!B14</f>
        <v>El camino de la propiedad 'NroDocumento' no es correcto para el tipo 'ClasesBase.HojaCalculo'.</v>
      </c>
      <c r="H6" s="76"/>
    </row>
    <row r="7">
      <c r="B7" s="72">
        <v>495</v>
      </c>
      <c r="C7" s="72" t="s">
        <v>86</v>
      </c>
      <c r="D7" s="73"/>
      <c r="E7" s="4"/>
      <c r="F7" s="4"/>
      <c r="G7" s="4"/>
      <c r="H7" s="4"/>
    </row>
    <row r="8">
      <c r="B8" s="72">
        <v>498</v>
      </c>
      <c r="C8" s="72" t="s">
        <v>87</v>
      </c>
      <c r="D8" s="73"/>
      <c r="E8" s="4"/>
      <c r="F8" s="77" t="s">
        <v>88</v>
      </c>
      <c r="G8" s="78"/>
      <c r="H8" s="79" t="str">
        <f ca="1">Datos!B26</f>
        <v>El camino de la propiedad 'MontoRecibo' no es correcto para el tipo 'ClasesBase.HojaCalculo'.</v>
      </c>
    </row>
    <row r="9">
      <c r="B9" s="72">
        <v>499</v>
      </c>
      <c r="C9" s="72" t="s">
        <v>89</v>
      </c>
      <c r="D9" s="73"/>
      <c r="E9" s="4"/>
      <c r="F9" s="77" t="s">
        <v>90</v>
      </c>
      <c r="G9" s="78"/>
      <c r="H9" s="79">
        <f>D16</f>
        <v>9400</v>
      </c>
    </row>
    <row r="10">
      <c r="B10" s="72">
        <v>501</v>
      </c>
      <c r="C10" s="72" t="s">
        <v>91</v>
      </c>
      <c r="D10" s="73"/>
      <c r="E10" s="4"/>
      <c r="F10" s="77" t="s">
        <v>92</v>
      </c>
      <c r="G10" s="78"/>
      <c r="H10" s="79" t="e">
        <f ca="1">H8-H9</f>
        <v>#VALUE!</v>
      </c>
    </row>
    <row r="11">
      <c r="B11" s="72">
        <v>502</v>
      </c>
      <c r="C11" s="72" t="s">
        <v>93</v>
      </c>
      <c r="D11" s="73">
        <v>4400</v>
      </c>
      <c r="E11" s="4"/>
      <c r="F11" s="77" t="s">
        <v>94</v>
      </c>
      <c r="G11" s="78"/>
      <c r="H11" s="79" t="e">
        <f ca="1">H10*0.3</f>
        <v>#VALUE!</v>
      </c>
    </row>
    <row r="12">
      <c r="B12" s="72">
        <v>503</v>
      </c>
      <c r="C12" s="72" t="s">
        <v>95</v>
      </c>
      <c r="D12" s="73">
        <v>5000</v>
      </c>
      <c r="E12" s="4"/>
      <c r="F12" s="77" t="s">
        <v>96</v>
      </c>
      <c r="G12" s="78"/>
      <c r="H12" s="79">
        <f>D52</f>
        <v>4000</v>
      </c>
    </row>
    <row r="13">
      <c r="B13" s="72">
        <v>520</v>
      </c>
      <c r="C13" s="72" t="s">
        <v>97</v>
      </c>
      <c r="D13" s="73"/>
      <c r="E13" s="4"/>
      <c r="F13" s="77" t="s">
        <v>98</v>
      </c>
      <c r="G13" s="78"/>
      <c r="H13" s="79">
        <f>H12+H9</f>
        <v>13400</v>
      </c>
    </row>
    <row r="14">
      <c r="B14" s="72">
        <v>521</v>
      </c>
      <c r="C14" s="72" t="s">
        <v>99</v>
      </c>
      <c r="D14" s="73"/>
      <c r="E14" s="4"/>
      <c r="F14" s="77" t="s">
        <v>100</v>
      </c>
      <c r="G14" s="78"/>
      <c r="H14" s="80" t="str">
        <f ca="1">IF(Datos!B3="AMEJUCA ESPECIAL","0,5","0,9")</f>
        <v>0,9</v>
      </c>
    </row>
    <row r="15">
      <c r="B15" s="81">
        <v>303</v>
      </c>
      <c r="C15" s="82" t="s">
        <v>101</v>
      </c>
      <c r="D15" s="83"/>
      <c r="E15" s="4"/>
      <c r="F15" s="77" t="s">
        <v>102</v>
      </c>
      <c r="G15" s="78"/>
      <c r="H15" s="79" t="e">
        <f ca="1">H11-H12</f>
        <v>#VALUE!</v>
      </c>
    </row>
    <row r="16">
      <c r="B16" s="77" t="s">
        <v>103</v>
      </c>
      <c r="C16" s="78"/>
      <c r="D16" s="79">
        <f>SUM(D6:D15)</f>
        <v>9400</v>
      </c>
      <c r="E16" s="4"/>
      <c r="F16" s="4"/>
      <c r="G16" s="4"/>
      <c r="H16" s="4"/>
    </row>
    <row r="17" ht="6" customHeight="1">
      <c r="E17" s="4"/>
    </row>
    <row r="18">
      <c r="B18" s="84" t="s">
        <v>80</v>
      </c>
      <c r="C18" s="84" t="s">
        <v>81</v>
      </c>
      <c r="D18" s="68" t="s">
        <v>82</v>
      </c>
      <c r="E18" s="4"/>
      <c r="F18" s="69" t="s">
        <v>104</v>
      </c>
      <c r="G18" s="85"/>
      <c r="H18" s="86"/>
    </row>
    <row r="19">
      <c r="B19" s="81">
        <v>153</v>
      </c>
      <c r="C19" s="82" t="s">
        <v>105</v>
      </c>
      <c r="D19" s="83"/>
      <c r="E19" s="4"/>
      <c r="F19" s="87"/>
      <c r="G19" s="88"/>
      <c r="H19" s="89"/>
    </row>
    <row r="20" ht="14.25" customHeight="1">
      <c r="B20" s="81">
        <v>173</v>
      </c>
      <c r="C20" s="82" t="s">
        <v>106</v>
      </c>
      <c r="D20" s="83"/>
      <c r="E20" s="4"/>
      <c r="F20" s="90" t="e">
        <f ca="1">H15*H14</f>
        <v>#VALUE!</v>
      </c>
      <c r="G20" s="91"/>
      <c r="H20" s="92"/>
    </row>
    <row r="21" ht="14.25" customHeight="1">
      <c r="B21" s="81">
        <v>179</v>
      </c>
      <c r="C21" s="82" t="s">
        <v>107</v>
      </c>
      <c r="D21" s="83"/>
      <c r="E21" s="4"/>
      <c r="F21" s="93"/>
      <c r="G21" s="94"/>
      <c r="H21" s="95"/>
    </row>
    <row r="22">
      <c r="B22" s="81">
        <v>182</v>
      </c>
      <c r="C22" s="82" t="s">
        <v>108</v>
      </c>
      <c r="D22" s="83"/>
      <c r="E22" s="4"/>
      <c r="F22" s="4"/>
      <c r="G22" s="4"/>
      <c r="H22" s="4"/>
    </row>
    <row r="23">
      <c r="B23" s="81">
        <v>255</v>
      </c>
      <c r="C23" s="82" t="s">
        <v>109</v>
      </c>
      <c r="D23" s="83"/>
      <c r="E23" s="4"/>
      <c r="F23" s="4"/>
      <c r="G23" s="4"/>
      <c r="H23" s="4"/>
    </row>
    <row r="24">
      <c r="B24" s="81">
        <v>257</v>
      </c>
      <c r="C24" s="82" t="s">
        <v>110</v>
      </c>
      <c r="D24" s="83"/>
      <c r="E24" s="4"/>
      <c r="F24" s="4"/>
      <c r="G24" s="4"/>
      <c r="H24" s="4"/>
    </row>
    <row r="25">
      <c r="B25" s="81">
        <v>301</v>
      </c>
      <c r="C25" s="82" t="s">
        <v>111</v>
      </c>
      <c r="D25" s="83"/>
      <c r="E25" s="4"/>
      <c r="F25" s="4"/>
      <c r="G25" s="4"/>
      <c r="H25" s="4"/>
    </row>
    <row r="26">
      <c r="B26" s="81">
        <v>305</v>
      </c>
      <c r="C26" s="82" t="s">
        <v>112</v>
      </c>
      <c r="D26" s="83"/>
      <c r="E26" s="4"/>
      <c r="F26" s="4"/>
      <c r="G26" s="4"/>
      <c r="H26" s="4"/>
    </row>
    <row r="27">
      <c r="B27" s="81">
        <v>321</v>
      </c>
      <c r="C27" s="82" t="s">
        <v>113</v>
      </c>
      <c r="D27" s="83"/>
      <c r="E27" s="4"/>
      <c r="F27" s="4"/>
      <c r="G27" s="4"/>
      <c r="H27" s="4"/>
    </row>
    <row r="28">
      <c r="B28" s="81">
        <v>325</v>
      </c>
      <c r="C28" s="82" t="s">
        <v>114</v>
      </c>
      <c r="D28" s="83"/>
      <c r="E28" s="4"/>
      <c r="F28" s="4"/>
      <c r="G28" s="4"/>
      <c r="H28" s="4"/>
    </row>
    <row r="29">
      <c r="B29" s="81">
        <v>331</v>
      </c>
      <c r="C29" s="82" t="s">
        <v>115</v>
      </c>
      <c r="D29" s="83"/>
      <c r="E29" s="4"/>
      <c r="F29" s="4"/>
      <c r="G29" s="4"/>
      <c r="H29" s="4"/>
    </row>
    <row r="30">
      <c r="B30" s="81">
        <v>332</v>
      </c>
      <c r="C30" s="82" t="s">
        <v>116</v>
      </c>
      <c r="D30" s="83"/>
      <c r="E30" s="4"/>
      <c r="F30" s="4"/>
      <c r="G30" s="4"/>
      <c r="H30" s="4"/>
    </row>
    <row r="31">
      <c r="B31" s="81">
        <v>333</v>
      </c>
      <c r="C31" s="82" t="s">
        <v>117</v>
      </c>
      <c r="D31" s="83"/>
      <c r="E31" s="4"/>
      <c r="F31" s="4"/>
      <c r="G31" s="4"/>
      <c r="H31" s="4"/>
    </row>
    <row r="32">
      <c r="B32" s="81">
        <v>332</v>
      </c>
      <c r="C32" s="82" t="s">
        <v>118</v>
      </c>
      <c r="D32" s="83"/>
      <c r="E32" s="4"/>
      <c r="F32" s="4"/>
      <c r="G32" s="4"/>
      <c r="H32" s="4"/>
    </row>
    <row r="33">
      <c r="B33" s="81">
        <v>512</v>
      </c>
      <c r="C33" s="72" t="s">
        <v>119</v>
      </c>
      <c r="D33" s="73"/>
      <c r="E33" s="4"/>
      <c r="F33" s="4"/>
      <c r="G33" s="4"/>
      <c r="H33" s="4"/>
    </row>
    <row r="34">
      <c r="B34" s="81">
        <v>529</v>
      </c>
      <c r="C34" s="82" t="s">
        <v>110</v>
      </c>
      <c r="D34" s="83"/>
      <c r="E34" s="4"/>
      <c r="F34" s="4"/>
      <c r="G34" s="4"/>
      <c r="H34" s="4"/>
    </row>
    <row r="35">
      <c r="B35" s="81">
        <v>556</v>
      </c>
      <c r="C35" s="72" t="s">
        <v>120</v>
      </c>
      <c r="D35" s="73"/>
      <c r="E35" s="4"/>
      <c r="F35" s="4"/>
      <c r="G35" s="4"/>
      <c r="H35" s="4"/>
    </row>
    <row r="36">
      <c r="B36" s="81">
        <v>557</v>
      </c>
      <c r="C36" s="82" t="s">
        <v>121</v>
      </c>
      <c r="D36" s="83"/>
      <c r="E36" s="4"/>
      <c r="F36" s="4"/>
      <c r="G36" s="4"/>
      <c r="H36" s="4"/>
    </row>
    <row r="37">
      <c r="B37" s="81">
        <v>558</v>
      </c>
      <c r="C37" s="82" t="s">
        <v>115</v>
      </c>
      <c r="D37" s="83"/>
      <c r="E37" s="4"/>
      <c r="F37" s="4"/>
      <c r="G37" s="4"/>
      <c r="H37" s="4"/>
    </row>
    <row r="38">
      <c r="B38" s="81">
        <v>561</v>
      </c>
      <c r="C38" s="82" t="s">
        <v>122</v>
      </c>
      <c r="D38" s="83"/>
      <c r="E38" s="4"/>
      <c r="F38" s="4"/>
      <c r="G38" s="4"/>
      <c r="H38" s="4"/>
    </row>
    <row r="39">
      <c r="B39" s="81">
        <v>337</v>
      </c>
      <c r="C39" s="82" t="s">
        <v>123</v>
      </c>
      <c r="D39" s="83"/>
      <c r="E39" s="4"/>
      <c r="F39" s="4"/>
      <c r="G39" s="4"/>
      <c r="H39" s="4"/>
    </row>
    <row r="40">
      <c r="B40" s="81">
        <v>565</v>
      </c>
      <c r="C40" s="82" t="s">
        <v>124</v>
      </c>
      <c r="D40" s="83">
        <v>4000</v>
      </c>
      <c r="E40" s="4"/>
      <c r="F40" s="4"/>
      <c r="G40" s="4"/>
      <c r="H40" s="4"/>
    </row>
    <row r="41">
      <c r="B41" s="81">
        <v>568</v>
      </c>
      <c r="C41" s="82" t="s">
        <v>125</v>
      </c>
      <c r="D41" s="83"/>
    </row>
    <row r="42">
      <c r="B42" s="81">
        <v>599</v>
      </c>
      <c r="C42" s="82" t="s">
        <v>111</v>
      </c>
      <c r="D42" s="83"/>
    </row>
    <row r="43">
      <c r="B43" s="81">
        <v>676</v>
      </c>
      <c r="C43" s="82" t="s">
        <v>126</v>
      </c>
      <c r="D43" s="83"/>
    </row>
    <row r="44">
      <c r="B44" s="81">
        <v>1172</v>
      </c>
      <c r="C44" s="82" t="s">
        <v>127</v>
      </c>
      <c r="D44" s="83"/>
    </row>
    <row r="45">
      <c r="B45" s="81">
        <v>1325</v>
      </c>
      <c r="C45" s="82" t="s">
        <v>128</v>
      </c>
      <c r="D45" s="83"/>
    </row>
    <row r="46">
      <c r="B46" s="81">
        <v>2504</v>
      </c>
      <c r="C46" s="82" t="s">
        <v>129</v>
      </c>
      <c r="D46" s="83"/>
    </row>
    <row r="47">
      <c r="B47" s="81">
        <v>2505</v>
      </c>
      <c r="C47" s="82" t="s">
        <v>130</v>
      </c>
      <c r="D47" s="83"/>
    </row>
    <row r="48">
      <c r="B48" s="81">
        <v>2508</v>
      </c>
      <c r="C48" s="82" t="s">
        <v>131</v>
      </c>
      <c r="D48" s="83"/>
    </row>
    <row r="49">
      <c r="B49" s="81">
        <v>2518</v>
      </c>
      <c r="C49" s="82" t="s">
        <v>132</v>
      </c>
      <c r="D49" s="83"/>
    </row>
    <row r="50">
      <c r="B50" s="81">
        <v>2559</v>
      </c>
      <c r="C50" s="82" t="s">
        <v>133</v>
      </c>
      <c r="D50" s="83"/>
    </row>
    <row r="51">
      <c r="B51" s="81">
        <v>2559</v>
      </c>
      <c r="C51" s="82" t="s">
        <v>134</v>
      </c>
      <c r="D51" s="83"/>
    </row>
    <row r="52">
      <c r="B52" s="96" t="s">
        <v>103</v>
      </c>
      <c r="C52" s="96"/>
      <c r="D52" s="97">
        <f>SUM(D19:D51)</f>
        <v>4000</v>
      </c>
    </row>
  </sheetData>
  <mergeCells count="15">
    <mergeCell ref="B2:H3"/>
    <mergeCell ref="F14:G14"/>
    <mergeCell ref="F15:G15"/>
    <mergeCell ref="B52:C52"/>
    <mergeCell ref="B16:C16"/>
    <mergeCell ref="F8:G8"/>
    <mergeCell ref="F9:G9"/>
    <mergeCell ref="F10:G10"/>
    <mergeCell ref="F11:G11"/>
    <mergeCell ref="F12:G12"/>
    <mergeCell ref="F13:G13"/>
    <mergeCell ref="F18:H19"/>
    <mergeCell ref="F20:H21"/>
    <mergeCell ref="G6:H6"/>
    <mergeCell ref="G5:H5"/>
  </mergeCells>
  <conditionalFormatting sqref="H14">
    <cfRule priority="2" dxfId="7" type="cellIs" operator="equal">
      <formula>"0,9"</formula>
    </cfRule>
    <cfRule priority="3" dxfId="8" type="cellIs" operator="equal">
      <formula>"0,5"</formula>
    </cfRule>
  </conditionalFormatting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F2" sqref="B2:H3"/>
    </sheetView>
  </sheetViews>
  <sheetFormatPr defaultRowHeight="15"/>
  <cols>
    <col min="1" max="1" width="1.8554688" style="4" customWidth="1"/>
    <col min="2" max="2" width="8.140625" style="4" customWidth="1"/>
    <col min="3" max="3" width="33.140625" style="4" customWidth="1"/>
    <col min="4" max="4" width="14" style="4" customWidth="1"/>
    <col min="5" max="5" width="1.7109375" style="4" customWidth="1"/>
    <col min="6" max="6" width="14.285156" style="4" customWidth="1"/>
    <col min="7" max="7" width="7.4257812" style="4" customWidth="1"/>
    <col min="8" max="8" width="18.285156" style="4" customWidth="1"/>
    <col min="9" max="16384" width="9.140625" style="4"/>
  </cols>
  <sheetData>
    <row r="1">
      <c r="A1" s="4"/>
    </row>
    <row r="2">
      <c r="B2" s="98" t="s">
        <v>135</v>
      </c>
      <c r="C2" s="99"/>
      <c r="D2" s="99"/>
      <c r="E2" s="99"/>
      <c r="F2" s="99"/>
      <c r="G2" s="99"/>
      <c r="H2" s="100"/>
    </row>
    <row r="3" thickBot="1" ht="15.75">
      <c r="B3" s="101"/>
      <c r="C3" s="102"/>
      <c r="D3" s="102"/>
      <c r="E3" s="102"/>
      <c r="F3" s="102"/>
      <c r="G3" s="102"/>
      <c r="H3" s="103"/>
    </row>
    <row r="4" ht="6" customHeight="1">
      <c r="B4" s="4"/>
      <c r="C4" s="4"/>
      <c r="D4" s="4"/>
      <c r="E4" s="4"/>
      <c r="F4" s="4"/>
      <c r="G4" s="4"/>
      <c r="H4" s="4"/>
      <c r="I4" s="104"/>
    </row>
    <row r="5">
      <c r="B5" s="105" t="s">
        <v>80</v>
      </c>
      <c r="C5" s="105" t="s">
        <v>81</v>
      </c>
      <c r="D5" s="105" t="s">
        <v>82</v>
      </c>
      <c r="E5" s="4"/>
      <c r="F5" s="106" t="s">
        <v>136</v>
      </c>
      <c r="G5" s="107" t="str">
        <f ca="1">Datos!B16</f>
        <v>El camino de la propiedad 'NombreCompleto' no es correcto para el tipo 'ClasesBase.HojaCalculo'.</v>
      </c>
      <c r="H5" s="107"/>
      <c r="I5" s="108"/>
    </row>
    <row r="6">
      <c r="B6" s="72">
        <v>660040</v>
      </c>
      <c r="C6" s="72" t="s">
        <v>137</v>
      </c>
      <c r="D6" s="109"/>
      <c r="E6" s="4"/>
      <c r="F6" s="106" t="s">
        <v>85</v>
      </c>
      <c r="G6" s="107" t="str">
        <f ca="1">Datos!B14</f>
        <v>El camino de la propiedad 'NroDocumento' no es correcto para el tipo 'ClasesBase.HojaCalculo'.</v>
      </c>
      <c r="H6" s="107"/>
      <c r="I6" s="108"/>
    </row>
    <row r="7">
      <c r="B7" s="72">
        <v>660060</v>
      </c>
      <c r="C7" s="72" t="s">
        <v>138</v>
      </c>
      <c r="D7" s="109"/>
      <c r="E7" s="4"/>
      <c r="F7" s="4"/>
      <c r="G7" s="4"/>
      <c r="H7" s="4"/>
    </row>
    <row r="8">
      <c r="B8" s="72">
        <v>660070</v>
      </c>
      <c r="C8" s="72" t="s">
        <v>139</v>
      </c>
      <c r="D8" s="109"/>
      <c r="E8" s="4"/>
      <c r="F8" s="77" t="s">
        <v>88</v>
      </c>
      <c r="G8" s="78"/>
      <c r="H8" s="110" t="str">
        <f ca="1">Datos!B26</f>
        <v>El camino de la propiedad 'MontoRecibo' no es correcto para el tipo 'ClasesBase.HojaCalculo'.</v>
      </c>
    </row>
    <row r="9">
      <c r="B9" s="72">
        <v>660300</v>
      </c>
      <c r="C9" s="72" t="s">
        <v>140</v>
      </c>
      <c r="D9" s="109"/>
      <c r="E9" s="4"/>
      <c r="F9" s="77" t="s">
        <v>90</v>
      </c>
      <c r="G9" s="78"/>
      <c r="H9" s="110">
        <f>D18</f>
        <v>0</v>
      </c>
    </row>
    <row r="10">
      <c r="B10" s="72">
        <v>660330</v>
      </c>
      <c r="C10" s="72" t="s">
        <v>141</v>
      </c>
      <c r="D10" s="109"/>
      <c r="E10" s="4"/>
      <c r="F10" s="77" t="s">
        <v>92</v>
      </c>
      <c r="G10" s="78"/>
      <c r="H10" s="110" t="e">
        <f ca="1">H8-H9</f>
        <v>#VALUE!</v>
      </c>
    </row>
    <row r="11">
      <c r="B11" s="72">
        <v>672600</v>
      </c>
      <c r="C11" s="72" t="s">
        <v>142</v>
      </c>
      <c r="D11" s="109"/>
      <c r="E11" s="4"/>
      <c r="F11" s="77" t="s">
        <v>94</v>
      </c>
      <c r="G11" s="78"/>
      <c r="H11" s="110" t="e">
        <f ca="1">H10*0.3</f>
        <v>#VALUE!</v>
      </c>
    </row>
    <row r="12">
      <c r="B12" s="72">
        <v>670580</v>
      </c>
      <c r="C12" s="72" t="s">
        <v>143</v>
      </c>
      <c r="D12" s="109"/>
      <c r="E12" s="4"/>
      <c r="F12" s="72" t="s">
        <v>96</v>
      </c>
      <c r="G12" s="72"/>
      <c r="H12" s="110">
        <f>D39</f>
        <v>0</v>
      </c>
    </row>
    <row r="13">
      <c r="B13" s="72">
        <v>670600</v>
      </c>
      <c r="C13" s="72" t="s">
        <v>144</v>
      </c>
      <c r="D13" s="109"/>
      <c r="E13" s="4"/>
      <c r="F13" s="72" t="s">
        <v>98</v>
      </c>
      <c r="G13" s="72"/>
      <c r="H13" s="110">
        <f>H12+H9</f>
        <v>0</v>
      </c>
    </row>
    <row r="14">
      <c r="B14" s="72">
        <v>650100</v>
      </c>
      <c r="C14" s="72" t="s">
        <v>145</v>
      </c>
      <c r="D14" s="109"/>
      <c r="E14" s="4"/>
      <c r="F14" s="4"/>
      <c r="G14" s="4"/>
      <c r="H14" s="4"/>
    </row>
    <row r="15">
      <c r="B15" s="72">
        <v>661190</v>
      </c>
      <c r="C15" s="72" t="s">
        <v>146</v>
      </c>
      <c r="D15" s="109"/>
      <c r="E15" s="4"/>
      <c r="F15" s="4"/>
      <c r="G15" s="4"/>
      <c r="H15" s="4"/>
    </row>
    <row r="16">
      <c r="B16" s="81"/>
      <c r="C16" s="72" t="s">
        <v>147</v>
      </c>
      <c r="D16" s="109"/>
      <c r="E16" s="4"/>
      <c r="F16" s="4"/>
      <c r="G16" s="4"/>
      <c r="H16" s="4"/>
    </row>
    <row r="17">
      <c r="B17" s="72"/>
      <c r="C17" s="72" t="s">
        <v>148</v>
      </c>
      <c r="D17" s="109"/>
      <c r="E17" s="4"/>
      <c r="F17" s="4"/>
      <c r="G17" s="4"/>
      <c r="H17" s="4"/>
    </row>
    <row r="18">
      <c r="B18" s="111" t="s">
        <v>103</v>
      </c>
      <c r="C18" s="112"/>
      <c r="D18" s="113">
        <f>SUM(D6:D15)</f>
        <v>0</v>
      </c>
      <c r="E18" s="4"/>
      <c r="F18" s="114" t="s">
        <v>104</v>
      </c>
      <c r="G18" s="115"/>
      <c r="H18" s="116"/>
    </row>
    <row r="19" ht="7.5" customHeight="1">
      <c r="B19" s="4"/>
      <c r="C19" s="4"/>
      <c r="D19" s="4"/>
      <c r="E19" s="4"/>
      <c r="F19" s="117"/>
      <c r="G19" s="118"/>
      <c r="H19" s="119"/>
    </row>
    <row r="20">
      <c r="B20" s="105" t="s">
        <v>80</v>
      </c>
      <c r="C20" s="105" t="s">
        <v>81</v>
      </c>
      <c r="D20" s="105" t="s">
        <v>82</v>
      </c>
      <c r="E20" s="4"/>
      <c r="F20" s="90" t="e">
        <f ca="1">H11-H12</f>
        <v>#VALUE!</v>
      </c>
      <c r="G20" s="91"/>
      <c r="H20" s="92"/>
    </row>
    <row r="21" ht="15" customHeight="1">
      <c r="B21" s="72">
        <v>666850</v>
      </c>
      <c r="C21" s="72" t="s">
        <v>149</v>
      </c>
      <c r="D21" s="109"/>
      <c r="E21" s="4"/>
      <c r="F21" s="93"/>
      <c r="G21" s="94"/>
      <c r="H21" s="95"/>
    </row>
    <row r="22">
      <c r="B22" s="72">
        <v>666950</v>
      </c>
      <c r="C22" s="72" t="s">
        <v>150</v>
      </c>
      <c r="D22" s="109"/>
      <c r="E22" s="4"/>
      <c r="F22" s="4"/>
      <c r="G22" s="4"/>
      <c r="H22" s="4"/>
    </row>
    <row r="23">
      <c r="B23" s="72">
        <v>671750</v>
      </c>
      <c r="C23" s="72" t="s">
        <v>151</v>
      </c>
      <c r="D23" s="109"/>
      <c r="E23" s="4"/>
      <c r="F23" s="4"/>
      <c r="G23" s="4"/>
      <c r="H23" s="4"/>
    </row>
    <row r="24">
      <c r="B24" s="72">
        <v>675210</v>
      </c>
      <c r="C24" s="72" t="s">
        <v>152</v>
      </c>
      <c r="D24" s="109"/>
      <c r="E24" s="4"/>
      <c r="F24" s="4"/>
      <c r="G24" s="4"/>
      <c r="H24" s="4"/>
    </row>
    <row r="25">
      <c r="B25" s="72">
        <v>672750</v>
      </c>
      <c r="C25" s="72" t="s">
        <v>153</v>
      </c>
      <c r="D25" s="109"/>
      <c r="E25" s="4"/>
      <c r="F25" s="4"/>
      <c r="G25" s="4"/>
      <c r="H25" s="4"/>
    </row>
    <row r="26">
      <c r="B26" s="72">
        <v>673560</v>
      </c>
      <c r="C26" s="72" t="s">
        <v>154</v>
      </c>
      <c r="D26" s="109"/>
      <c r="E26" s="4"/>
      <c r="F26" s="4"/>
      <c r="G26" s="4"/>
      <c r="H26" s="4"/>
    </row>
    <row r="27">
      <c r="B27" s="72">
        <v>668360</v>
      </c>
      <c r="C27" s="72" t="s">
        <v>155</v>
      </c>
      <c r="D27" s="109"/>
      <c r="E27" s="4"/>
      <c r="F27" s="4"/>
      <c r="G27" s="4"/>
      <c r="H27" s="4"/>
    </row>
    <row r="28">
      <c r="B28" s="72">
        <v>669930</v>
      </c>
      <c r="C28" s="72" t="s">
        <v>156</v>
      </c>
      <c r="D28" s="109"/>
      <c r="E28" s="4"/>
      <c r="F28" s="4"/>
      <c r="G28" s="4"/>
      <c r="H28" s="4"/>
    </row>
    <row r="29">
      <c r="B29" s="72">
        <v>672100</v>
      </c>
      <c r="C29" s="72" t="s">
        <v>157</v>
      </c>
      <c r="D29" s="109"/>
      <c r="E29" s="4"/>
      <c r="F29" s="4"/>
      <c r="G29" s="4"/>
      <c r="H29" s="4"/>
    </row>
    <row r="30">
      <c r="B30" s="72">
        <v>662500</v>
      </c>
      <c r="C30" s="72" t="s">
        <v>158</v>
      </c>
      <c r="D30" s="109"/>
      <c r="E30" s="4"/>
      <c r="F30" s="4"/>
      <c r="G30" s="4"/>
      <c r="H30" s="4"/>
    </row>
    <row r="31">
      <c r="B31" s="72">
        <v>672850</v>
      </c>
      <c r="C31" s="72" t="s">
        <v>159</v>
      </c>
      <c r="D31" s="109"/>
      <c r="E31" s="4"/>
      <c r="F31" s="4"/>
      <c r="G31" s="4"/>
      <c r="H31" s="4"/>
    </row>
    <row r="32">
      <c r="B32" s="72">
        <v>671620</v>
      </c>
      <c r="C32" s="72" t="s">
        <v>160</v>
      </c>
      <c r="D32" s="109"/>
      <c r="E32" s="4"/>
      <c r="F32" s="4"/>
      <c r="G32" s="4"/>
      <c r="H32" s="4"/>
    </row>
    <row r="33">
      <c r="B33" s="72"/>
      <c r="C33" s="72" t="s">
        <v>161</v>
      </c>
      <c r="D33" s="109"/>
      <c r="E33" s="4"/>
      <c r="F33" s="4"/>
      <c r="G33" s="4"/>
      <c r="H33" s="4"/>
    </row>
    <row r="34">
      <c r="B34" s="72">
        <v>668320</v>
      </c>
      <c r="C34" s="72" t="s">
        <v>162</v>
      </c>
      <c r="D34" s="109"/>
      <c r="E34" s="4"/>
      <c r="F34" s="4"/>
      <c r="G34" s="4"/>
      <c r="H34" s="4"/>
    </row>
    <row r="35">
      <c r="B35" s="72"/>
      <c r="C35" s="72" t="s">
        <v>163</v>
      </c>
      <c r="D35" s="109"/>
      <c r="E35" s="4"/>
      <c r="F35" s="4"/>
      <c r="G35" s="4"/>
      <c r="H35" s="4"/>
    </row>
    <row r="36">
      <c r="B36" s="72">
        <v>662750</v>
      </c>
      <c r="C36" s="72" t="s">
        <v>164</v>
      </c>
      <c r="D36" s="109"/>
      <c r="E36" s="4"/>
      <c r="F36" s="4"/>
      <c r="G36" s="4"/>
      <c r="H36" s="4"/>
    </row>
    <row r="37">
      <c r="B37" s="72">
        <v>673100</v>
      </c>
      <c r="C37" s="72" t="s">
        <v>165</v>
      </c>
      <c r="D37" s="109"/>
      <c r="E37" s="4"/>
      <c r="F37" s="4"/>
      <c r="G37" s="4"/>
      <c r="H37" s="4"/>
    </row>
    <row r="38">
      <c r="B38" s="72">
        <v>666880</v>
      </c>
      <c r="C38" s="72" t="s">
        <v>166</v>
      </c>
      <c r="D38" s="109"/>
      <c r="E38" s="4"/>
      <c r="F38" s="4"/>
      <c r="G38" s="4"/>
      <c r="H38" s="4"/>
    </row>
    <row r="39">
      <c r="B39" s="120" t="s">
        <v>103</v>
      </c>
      <c r="C39" s="121"/>
      <c r="D39" s="113">
        <f>SUM(D21:D38)</f>
        <v>0</v>
      </c>
      <c r="E39" s="4"/>
      <c r="F39" s="4"/>
      <c r="G39" s="4"/>
      <c r="H39" s="4"/>
    </row>
  </sheetData>
  <mergeCells count="10">
    <mergeCell ref="B2:H3"/>
    <mergeCell ref="F18:H19"/>
    <mergeCell ref="F20:H21"/>
    <mergeCell ref="F8:G8"/>
    <mergeCell ref="F9:G9"/>
    <mergeCell ref="F10:G10"/>
    <mergeCell ref="F11:G11"/>
    <mergeCell ref="G5:H5"/>
    <mergeCell ref="G6:H6"/>
    <mergeCell ref="B39:C39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D2" sqref="B2:E2"/>
    </sheetView>
  </sheetViews>
  <sheetFormatPr defaultRowHeight="15"/>
  <cols>
    <col min="1" max="1" width="2" style="4" customWidth="1"/>
    <col min="2" max="2" width="20.855469" style="4" customWidth="1"/>
    <col min="3" max="3" width="18.140625" style="4" customWidth="1"/>
    <col min="4" max="4" width="22.710938" style="4" bestFit="1" customWidth="1"/>
    <col min="5" max="5" width="20.710938" style="4" customWidth="1"/>
    <col min="6" max="16384" width="9.140625" style="4"/>
  </cols>
  <sheetData>
    <row r="1" ht="8.25" customHeight="1"/>
    <row r="2" ht="30.75" customHeight="1">
      <c r="B2" s="122" t="s">
        <v>40</v>
      </c>
      <c r="C2" s="123"/>
      <c r="D2" s="123"/>
      <c r="E2" s="124"/>
    </row>
    <row r="3" s="2" customFormat="1" ht="9" customHeight="1">
      <c r="B3" s="125"/>
      <c r="C3" s="125"/>
      <c r="D3" s="125"/>
      <c r="E3" s="125"/>
    </row>
    <row r="4">
      <c r="B4" s="126" t="s">
        <v>83</v>
      </c>
      <c r="C4" s="127" t="str">
        <f ca="1">Datos!B16</f>
        <v>El camino de la propiedad 'NombreCompleto' no es correcto para el tipo 'ClasesBase.HojaCalculo'.</v>
      </c>
      <c r="D4" s="127"/>
      <c r="E4" s="127"/>
    </row>
    <row r="5">
      <c r="B5" s="128" t="s">
        <v>167</v>
      </c>
      <c r="C5" s="126" t="s">
        <v>168</v>
      </c>
      <c r="D5" s="126" t="s">
        <v>169</v>
      </c>
      <c r="E5" s="126" t="s">
        <v>170</v>
      </c>
    </row>
    <row r="6" ht="15.75" customHeight="1">
      <c r="B6" s="129"/>
      <c r="C6" s="130">
        <v>0</v>
      </c>
      <c r="D6" s="130">
        <v>0</v>
      </c>
      <c r="E6" s="130">
        <f>C6+D6</f>
        <v>0</v>
      </c>
    </row>
    <row r="7">
      <c r="B7" s="131" t="s">
        <v>171</v>
      </c>
      <c r="C7" s="72">
        <v>2920</v>
      </c>
      <c r="D7" s="72" t="s">
        <v>172</v>
      </c>
      <c r="E7" s="132">
        <v>0</v>
      </c>
    </row>
    <row r="8">
      <c r="B8" s="133"/>
      <c r="C8" s="72">
        <v>3410</v>
      </c>
      <c r="D8" s="72" t="s">
        <v>173</v>
      </c>
      <c r="E8" s="132">
        <v>0</v>
      </c>
    </row>
    <row r="9">
      <c r="B9" s="133"/>
      <c r="C9" s="72">
        <v>3490</v>
      </c>
      <c r="D9" s="72" t="s">
        <v>174</v>
      </c>
      <c r="E9" s="132">
        <v>0</v>
      </c>
    </row>
    <row r="10">
      <c r="B10" s="133"/>
      <c r="C10" s="72">
        <v>3910</v>
      </c>
      <c r="D10" s="72" t="s">
        <v>175</v>
      </c>
      <c r="E10" s="132">
        <v>0</v>
      </c>
    </row>
    <row r="11">
      <c r="B11" s="133"/>
      <c r="C11" s="72"/>
      <c r="D11" s="72" t="s">
        <v>101</v>
      </c>
      <c r="E11" s="132">
        <v>0</v>
      </c>
    </row>
    <row r="12">
      <c r="B12" s="133"/>
      <c r="C12" s="72"/>
      <c r="D12" s="72" t="s">
        <v>176</v>
      </c>
      <c r="E12" s="132">
        <v>0</v>
      </c>
    </row>
    <row r="13">
      <c r="B13" s="134"/>
      <c r="C13" s="135">
        <v>4300</v>
      </c>
      <c r="D13" s="135" t="s">
        <v>177</v>
      </c>
      <c r="E13" s="132">
        <v>0</v>
      </c>
    </row>
    <row r="14">
      <c r="B14" s="136" t="s">
        <v>178</v>
      </c>
      <c r="C14" s="137"/>
      <c r="D14" s="138"/>
      <c r="E14" s="139">
        <f>SUM(E7:E13)</f>
        <v>0</v>
      </c>
    </row>
    <row r="15">
      <c r="B15" s="140" t="s">
        <v>179</v>
      </c>
      <c r="C15" s="141"/>
      <c r="D15" s="142"/>
      <c r="E15" s="139">
        <f>SUM(E6-E14)</f>
        <v>0</v>
      </c>
    </row>
    <row r="16">
      <c r="B16" s="143" t="s">
        <v>180</v>
      </c>
      <c r="C16" s="144"/>
      <c r="D16" s="145">
        <v>0.20000000000000001</v>
      </c>
      <c r="E16" s="139">
        <f>E15*D16</f>
        <v>0</v>
      </c>
    </row>
    <row r="17">
      <c r="B17" s="146" t="s">
        <v>181</v>
      </c>
      <c r="C17" s="147"/>
      <c r="D17" s="148"/>
      <c r="E17" s="139">
        <f>SUM(E15-E16)</f>
        <v>0</v>
      </c>
    </row>
    <row r="18">
      <c r="B18" s="129" t="s">
        <v>182</v>
      </c>
      <c r="C18" s="149">
        <v>5050</v>
      </c>
      <c r="D18" s="149" t="s">
        <v>183</v>
      </c>
      <c r="E18" s="132">
        <v>0</v>
      </c>
    </row>
    <row r="19">
      <c r="B19" s="150"/>
      <c r="C19" s="72">
        <v>5060</v>
      </c>
      <c r="D19" s="72" t="s">
        <v>184</v>
      </c>
      <c r="E19" s="132">
        <v>0</v>
      </c>
    </row>
    <row r="20">
      <c r="B20" s="150"/>
      <c r="C20" s="72"/>
      <c r="D20" s="72" t="s">
        <v>185</v>
      </c>
      <c r="E20" s="132">
        <v>0</v>
      </c>
    </row>
    <row r="21">
      <c r="B21" s="150"/>
      <c r="C21" s="72">
        <v>5160</v>
      </c>
      <c r="D21" s="72" t="s">
        <v>186</v>
      </c>
      <c r="E21" s="132">
        <v>0</v>
      </c>
    </row>
    <row r="22">
      <c r="B22" s="150"/>
      <c r="C22" s="72">
        <v>5250</v>
      </c>
      <c r="D22" s="72" t="s">
        <v>187</v>
      </c>
      <c r="E22" s="132">
        <v>0</v>
      </c>
    </row>
    <row r="23">
      <c r="B23" s="150"/>
      <c r="C23" s="72">
        <v>5300</v>
      </c>
      <c r="D23" s="72" t="s">
        <v>188</v>
      </c>
      <c r="E23" s="132">
        <v>0</v>
      </c>
    </row>
    <row r="24">
      <c r="B24" s="150"/>
      <c r="C24" s="72">
        <v>5310</v>
      </c>
      <c r="D24" s="72" t="s">
        <v>189</v>
      </c>
      <c r="E24" s="132">
        <v>0</v>
      </c>
    </row>
    <row r="25">
      <c r="B25" s="150"/>
      <c r="C25" s="72">
        <v>5350</v>
      </c>
      <c r="D25" s="72" t="s">
        <v>190</v>
      </c>
      <c r="E25" s="132">
        <v>0</v>
      </c>
    </row>
    <row r="26">
      <c r="B26" s="150"/>
      <c r="C26" s="72">
        <v>5370</v>
      </c>
      <c r="D26" s="72" t="s">
        <v>191</v>
      </c>
      <c r="E26" s="132">
        <v>0</v>
      </c>
    </row>
    <row r="27">
      <c r="B27" s="150"/>
      <c r="C27" s="72"/>
      <c r="D27" s="72" t="s">
        <v>192</v>
      </c>
      <c r="E27" s="132">
        <v>0</v>
      </c>
    </row>
    <row r="28">
      <c r="B28" s="150"/>
      <c r="C28" s="72">
        <v>5910</v>
      </c>
      <c r="D28" s="72" t="s">
        <v>193</v>
      </c>
      <c r="E28" s="132">
        <v>0</v>
      </c>
    </row>
    <row r="29">
      <c r="B29" s="150"/>
      <c r="C29" s="72"/>
      <c r="D29" s="72" t="s">
        <v>194</v>
      </c>
      <c r="E29" s="132">
        <v>0</v>
      </c>
    </row>
    <row r="30">
      <c r="B30" s="150"/>
      <c r="C30" s="72"/>
      <c r="D30" s="72" t="s">
        <v>195</v>
      </c>
      <c r="E30" s="132">
        <v>0</v>
      </c>
    </row>
    <row r="31">
      <c r="B31" s="150"/>
      <c r="C31" s="72"/>
      <c r="D31" s="72" t="s">
        <v>196</v>
      </c>
      <c r="E31" s="132">
        <v>0</v>
      </c>
    </row>
    <row r="32">
      <c r="B32" s="150"/>
      <c r="C32" s="72"/>
      <c r="D32" s="72" t="s">
        <v>197</v>
      </c>
      <c r="E32" s="132">
        <v>0</v>
      </c>
    </row>
    <row r="33">
      <c r="B33" s="150"/>
      <c r="C33" s="72">
        <v>5990</v>
      </c>
      <c r="D33" s="72" t="s">
        <v>198</v>
      </c>
      <c r="E33" s="132">
        <v>0</v>
      </c>
    </row>
    <row r="34">
      <c r="B34" s="150"/>
      <c r="C34" s="72"/>
      <c r="D34" s="72" t="s">
        <v>199</v>
      </c>
      <c r="E34" s="132">
        <v>0</v>
      </c>
    </row>
    <row r="35">
      <c r="B35" s="127" t="s">
        <v>170</v>
      </c>
      <c r="C35" s="127"/>
      <c r="D35" s="127"/>
      <c r="E35" s="151">
        <f>SUM(E18:E34)</f>
        <v>0</v>
      </c>
    </row>
    <row r="36">
      <c r="B36" s="127" t="s">
        <v>200</v>
      </c>
      <c r="C36" s="127"/>
      <c r="D36" s="127"/>
      <c r="E36" s="151">
        <f>SUM(E17-E35)</f>
        <v>0</v>
      </c>
    </row>
    <row r="37">
      <c r="B37" s="152"/>
      <c r="C37" s="152"/>
      <c r="D37" s="152"/>
    </row>
  </sheetData>
  <mergeCells count="11">
    <mergeCell ref="C4:E4"/>
    <mergeCell ref="B14:D14"/>
    <mergeCell ref="B15:D15"/>
    <mergeCell ref="B16:C16"/>
    <mergeCell ref="B18:B34"/>
    <mergeCell ref="B35:D35"/>
    <mergeCell ref="B36:D36"/>
    <mergeCell ref="B17:D17"/>
    <mergeCell ref="B2:E2"/>
    <mergeCell ref="B7:B13"/>
    <mergeCell ref="B5:B6"/>
  </mergeCells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2" sqref="B2:D2"/>
    </sheetView>
  </sheetViews>
  <sheetFormatPr defaultRowHeight="15"/>
  <cols>
    <col min="1" max="1" width="4.2851562" style="4" customWidth="1"/>
    <col min="2" max="2" width="24.570312" style="4" customWidth="1"/>
    <col min="3" max="3" width="10.7109375" style="4" customWidth="1"/>
    <col min="4" max="4" width="18.285156" style="4" customWidth="1"/>
    <col min="5" max="5" width="2" style="4" customWidth="1"/>
    <col min="6" max="6" width="2.7109375" style="153" customWidth="1"/>
    <col min="7" max="7" width="2.5703125" style="154" customWidth="1"/>
    <col min="8" max="8" width="9.140625" style="155"/>
    <col min="9" max="16384" width="9.140625" style="4"/>
  </cols>
  <sheetData>
    <row r="2" ht="35.25" customHeight="1">
      <c r="B2" s="156" t="s">
        <v>42</v>
      </c>
      <c r="C2" s="157"/>
      <c r="D2" s="158"/>
      <c r="E2" s="159"/>
      <c r="F2" s="153"/>
      <c r="G2" s="154"/>
    </row>
    <row r="3" ht="6.75" customHeight="1">
      <c r="B3" s="4"/>
      <c r="C3" s="4"/>
      <c r="D3" s="4"/>
      <c r="E3" s="4"/>
      <c r="F3" s="153"/>
      <c r="G3" s="154"/>
    </row>
    <row r="4">
      <c r="B4" s="160" t="s">
        <v>201</v>
      </c>
      <c r="C4" s="161"/>
      <c r="D4" s="132"/>
      <c r="E4" s="4"/>
      <c r="F4" s="153" t="s">
        <v>202</v>
      </c>
      <c r="G4" s="154" t="s">
        <v>203</v>
      </c>
      <c r="H4" s="154"/>
      <c r="I4" s="154"/>
      <c r="J4" s="154"/>
      <c r="K4" s="154"/>
      <c r="L4" s="154"/>
      <c r="M4" s="154"/>
      <c r="N4" s="154"/>
      <c r="O4" s="154"/>
      <c r="P4" s="154"/>
    </row>
    <row r="5">
      <c r="B5" s="162" t="s">
        <v>204</v>
      </c>
      <c r="C5" s="163"/>
      <c r="D5" s="164">
        <f>+IF(B4="ASISTENCIAL",D4/0.07,D4/0.2)</f>
        <v>0</v>
      </c>
      <c r="E5" s="4"/>
      <c r="F5" s="153" t="s">
        <v>202</v>
      </c>
      <c r="G5" s="165" t="s">
        <v>205</v>
      </c>
      <c r="H5" s="165"/>
      <c r="I5" s="165"/>
      <c r="J5" s="165"/>
      <c r="K5" s="165"/>
      <c r="L5" s="165"/>
      <c r="M5" s="165"/>
      <c r="N5" s="165"/>
      <c r="O5" s="165"/>
      <c r="P5" s="165"/>
    </row>
    <row r="6">
      <c r="B6" s="160" t="s">
        <v>206</v>
      </c>
      <c r="C6" s="161"/>
      <c r="D6" s="132"/>
      <c r="E6" s="4"/>
      <c r="F6" s="153" t="s">
        <v>202</v>
      </c>
      <c r="G6" s="154" t="s">
        <v>207</v>
      </c>
      <c r="H6" s="154"/>
      <c r="I6" s="166"/>
      <c r="J6" s="166"/>
      <c r="K6" s="166"/>
      <c r="L6" s="166"/>
      <c r="M6" s="166"/>
    </row>
    <row r="7">
      <c r="B7" s="160" t="s">
        <v>208</v>
      </c>
      <c r="C7" s="161"/>
      <c r="D7" s="132"/>
      <c r="E7" s="4"/>
      <c r="F7" s="153"/>
      <c r="G7" s="154"/>
      <c r="H7" s="154"/>
      <c r="I7" s="166"/>
      <c r="J7" s="166"/>
      <c r="K7" s="166"/>
      <c r="L7" s="166"/>
      <c r="M7" s="166"/>
    </row>
    <row r="8">
      <c r="B8" s="160" t="s">
        <v>209</v>
      </c>
      <c r="C8" s="161"/>
      <c r="D8" s="132"/>
      <c r="E8" s="4"/>
      <c r="F8" s="153"/>
      <c r="G8" s="154"/>
      <c r="H8" s="154"/>
      <c r="I8" s="166"/>
      <c r="J8" s="166"/>
      <c r="K8" s="166"/>
      <c r="L8" s="166"/>
      <c r="M8" s="166"/>
    </row>
    <row r="9">
      <c r="B9" s="160" t="s">
        <v>210</v>
      </c>
      <c r="C9" s="161"/>
      <c r="D9" s="72"/>
      <c r="E9" s="4"/>
      <c r="F9" s="153"/>
      <c r="G9" s="154"/>
      <c r="H9" s="154"/>
      <c r="I9" s="166"/>
      <c r="J9" s="166"/>
      <c r="K9" s="166"/>
      <c r="L9" s="166"/>
      <c r="M9" s="166"/>
    </row>
    <row r="10">
      <c r="B10" s="160" t="s">
        <v>211</v>
      </c>
      <c r="C10" s="161"/>
      <c r="D10" s="72"/>
      <c r="E10" s="4"/>
      <c r="F10" s="153"/>
      <c r="G10" s="154"/>
      <c r="H10" s="154"/>
      <c r="I10" s="166"/>
      <c r="J10" s="166"/>
      <c r="K10" s="166"/>
      <c r="L10" s="166"/>
      <c r="M10" s="166"/>
    </row>
    <row r="11">
      <c r="B11" s="160" t="s">
        <v>212</v>
      </c>
      <c r="C11" s="161"/>
      <c r="D11" s="72"/>
      <c r="E11" s="4"/>
      <c r="F11" s="153" t="s">
        <v>202</v>
      </c>
      <c r="G11" s="165" t="s">
        <v>68</v>
      </c>
      <c r="H11" s="165"/>
      <c r="I11" s="165"/>
      <c r="J11" s="165"/>
    </row>
    <row r="12">
      <c r="B12" s="162" t="s">
        <v>98</v>
      </c>
      <c r="C12" s="163"/>
      <c r="D12" s="164">
        <f>SUM(D6:D11)</f>
        <v>0</v>
      </c>
      <c r="E12" s="4"/>
      <c r="F12" s="153"/>
      <c r="G12" s="154"/>
    </row>
    <row r="13">
      <c r="B13" s="162" t="s">
        <v>213</v>
      </c>
      <c r="C13" s="163"/>
      <c r="D13" s="164">
        <f>D5-D12</f>
        <v>0</v>
      </c>
      <c r="E13" s="4"/>
      <c r="F13" s="153"/>
      <c r="G13" s="154"/>
    </row>
    <row r="14">
      <c r="B14" s="167" t="s">
        <v>214</v>
      </c>
      <c r="C14" s="168"/>
      <c r="D14" s="169">
        <f>D13*0.18</f>
        <v>0</v>
      </c>
      <c r="E14" s="4"/>
      <c r="F14" s="153"/>
      <c r="G14" s="154"/>
    </row>
    <row r="15">
      <c r="B15" s="170">
        <f>SUM(D17:D28)</f>
        <v>0</v>
      </c>
      <c r="C15" s="170"/>
      <c r="D15" s="171">
        <f>D14-C15</f>
        <v>0</v>
      </c>
      <c r="E15" s="4"/>
    </row>
    <row r="16">
      <c r="B16" s="172" t="s">
        <v>182</v>
      </c>
      <c r="C16" s="173"/>
      <c r="D16" s="174"/>
      <c r="E16" s="4"/>
      <c r="F16" s="153"/>
      <c r="G16" s="154"/>
    </row>
    <row r="17">
      <c r="B17" s="160" t="s">
        <v>215</v>
      </c>
      <c r="C17" s="161"/>
      <c r="D17" s="72"/>
      <c r="E17" s="4"/>
      <c r="F17" s="153" t="s">
        <v>202</v>
      </c>
      <c r="G17" s="154" t="s">
        <v>216</v>
      </c>
      <c r="H17" s="154"/>
      <c r="I17" s="166"/>
      <c r="J17" s="166"/>
      <c r="K17" s="166"/>
    </row>
    <row r="18">
      <c r="B18" s="160" t="s">
        <v>217</v>
      </c>
      <c r="C18" s="161"/>
      <c r="D18" s="72"/>
      <c r="E18" s="4"/>
      <c r="F18" s="153"/>
      <c r="G18" s="154"/>
      <c r="H18" s="154"/>
      <c r="I18" s="166"/>
      <c r="J18" s="166"/>
      <c r="K18" s="166"/>
    </row>
    <row r="19">
      <c r="B19" s="160" t="s">
        <v>218</v>
      </c>
      <c r="C19" s="161"/>
      <c r="D19" s="72"/>
      <c r="E19" s="4"/>
      <c r="F19" s="153"/>
      <c r="G19" s="154"/>
      <c r="H19" s="154"/>
      <c r="I19" s="166"/>
      <c r="J19" s="166"/>
      <c r="K19" s="166"/>
    </row>
    <row r="20">
      <c r="B20" s="160" t="s">
        <v>219</v>
      </c>
      <c r="C20" s="161"/>
      <c r="D20" s="72"/>
      <c r="E20" s="4"/>
      <c r="F20" s="153"/>
      <c r="G20" s="154"/>
      <c r="H20" s="154"/>
      <c r="I20" s="166"/>
      <c r="J20" s="166"/>
      <c r="K20" s="166"/>
    </row>
    <row r="21">
      <c r="B21" s="160" t="s">
        <v>220</v>
      </c>
      <c r="C21" s="161"/>
      <c r="D21" s="72"/>
      <c r="E21" s="4"/>
      <c r="F21" s="153"/>
      <c r="G21" s="154"/>
      <c r="H21" s="154"/>
      <c r="I21" s="166"/>
      <c r="J21" s="166"/>
      <c r="K21" s="166"/>
    </row>
    <row r="22">
      <c r="B22" s="160" t="s">
        <v>221</v>
      </c>
      <c r="C22" s="161"/>
      <c r="D22" s="72"/>
      <c r="E22" s="4"/>
      <c r="F22" s="153"/>
      <c r="G22" s="154"/>
      <c r="H22" s="154"/>
      <c r="I22" s="166"/>
      <c r="J22" s="166"/>
      <c r="K22" s="166"/>
    </row>
    <row r="23">
      <c r="B23" s="160" t="s">
        <v>222</v>
      </c>
      <c r="C23" s="161"/>
      <c r="D23" s="72"/>
      <c r="E23" s="4"/>
      <c r="F23" s="153"/>
      <c r="G23" s="154"/>
      <c r="H23" s="154"/>
      <c r="I23" s="166"/>
      <c r="J23" s="166"/>
      <c r="K23" s="166"/>
    </row>
    <row r="24">
      <c r="B24" s="160" t="s">
        <v>223</v>
      </c>
      <c r="C24" s="161"/>
      <c r="D24" s="72"/>
      <c r="E24" s="4"/>
      <c r="F24" s="153"/>
      <c r="G24" s="154"/>
      <c r="H24" s="154"/>
      <c r="I24" s="166"/>
      <c r="J24" s="166"/>
      <c r="K24" s="166"/>
    </row>
    <row r="25">
      <c r="B25" s="160" t="s">
        <v>224</v>
      </c>
      <c r="C25" s="161"/>
      <c r="D25" s="72"/>
      <c r="E25" s="4"/>
      <c r="F25" s="153"/>
      <c r="G25" s="154"/>
      <c r="H25" s="154"/>
      <c r="I25" s="166"/>
      <c r="J25" s="166"/>
      <c r="K25" s="166"/>
    </row>
    <row r="26">
      <c r="B26" s="160" t="s">
        <v>225</v>
      </c>
      <c r="C26" s="161"/>
      <c r="D26" s="72"/>
      <c r="E26" s="4"/>
      <c r="F26" s="153"/>
      <c r="G26" s="154"/>
      <c r="H26" s="154"/>
      <c r="I26" s="166"/>
      <c r="J26" s="166"/>
      <c r="K26" s="166"/>
    </row>
    <row r="27">
      <c r="B27" s="160" t="s">
        <v>226</v>
      </c>
      <c r="C27" s="161"/>
      <c r="D27" s="132">
        <f>D5*0.01</f>
        <v>0</v>
      </c>
      <c r="E27" s="4"/>
      <c r="F27" s="153" t="s">
        <v>202</v>
      </c>
      <c r="G27" s="165" t="s">
        <v>227</v>
      </c>
      <c r="H27" s="165"/>
      <c r="I27" s="175"/>
      <c r="J27" s="175"/>
      <c r="K27" s="175"/>
    </row>
    <row r="28">
      <c r="B28" s="160" t="s">
        <v>228</v>
      </c>
      <c r="C28" s="161"/>
      <c r="D28" s="72"/>
      <c r="E28" s="4"/>
      <c r="F28" s="153"/>
      <c r="G28" s="154"/>
    </row>
    <row r="29">
      <c r="B29" s="160" t="s">
        <v>229</v>
      </c>
      <c r="C29" s="161"/>
      <c r="D29" s="132">
        <f>D15*0.05</f>
        <v>0</v>
      </c>
      <c r="E29" s="4"/>
      <c r="F29" s="153" t="s">
        <v>202</v>
      </c>
      <c r="G29" s="154" t="s">
        <v>230</v>
      </c>
      <c r="H29" s="154"/>
      <c r="I29" s="166"/>
      <c r="J29" s="166"/>
      <c r="K29" s="166"/>
    </row>
    <row r="30">
      <c r="B30" s="162" t="s">
        <v>98</v>
      </c>
      <c r="C30" s="163"/>
      <c r="D30" s="176">
        <f>SUM(D17:D29)</f>
        <v>0</v>
      </c>
      <c r="E30" s="4"/>
      <c r="F30" s="153"/>
      <c r="G30" s="177" t="s">
        <v>231</v>
      </c>
      <c r="H30" s="177"/>
      <c r="I30" s="177"/>
      <c r="J30" s="177"/>
      <c r="K30" s="177"/>
    </row>
    <row r="31">
      <c r="B31" s="178" t="s">
        <v>104</v>
      </c>
      <c r="C31" s="179"/>
      <c r="D31" s="180">
        <f>D14-D30</f>
        <v>0</v>
      </c>
      <c r="E31" s="4"/>
      <c r="F31" s="153"/>
      <c r="G31" s="154"/>
    </row>
    <row r="32">
      <c r="B32" s="178" t="s">
        <v>232</v>
      </c>
      <c r="C32" s="179"/>
      <c r="D32" s="180">
        <f>D31/2</f>
        <v>0</v>
      </c>
      <c r="E32" s="4"/>
      <c r="F32" s="153" t="s">
        <v>202</v>
      </c>
      <c r="G32" s="181" t="s">
        <v>233</v>
      </c>
      <c r="H32" s="181"/>
      <c r="I32" s="182"/>
      <c r="J32" s="182"/>
      <c r="K32" s="182"/>
      <c r="L32" s="182"/>
      <c r="M32" s="183"/>
    </row>
    <row r="33">
      <c r="G33" s="184" t="s">
        <v>234</v>
      </c>
      <c r="H33" s="184"/>
      <c r="I33" s="184"/>
      <c r="J33" s="184"/>
      <c r="K33" s="184"/>
      <c r="L33" s="184"/>
      <c r="M33" s="184"/>
    </row>
    <row r="34">
      <c r="G34" s="185" t="s">
        <v>235</v>
      </c>
      <c r="H34" s="185"/>
      <c r="I34" s="185"/>
      <c r="J34" s="185"/>
      <c r="K34" s="185"/>
      <c r="L34" s="185"/>
      <c r="M34" s="185"/>
    </row>
    <row r="35">
      <c r="G35" s="185"/>
      <c r="H35" s="185"/>
      <c r="I35" s="185"/>
      <c r="J35" s="185"/>
      <c r="K35" s="185"/>
      <c r="L35" s="185"/>
      <c r="M35" s="185"/>
    </row>
    <row r="36">
      <c r="G36" s="186"/>
      <c r="H36" s="186"/>
      <c r="I36" s="187"/>
      <c r="J36" s="187"/>
      <c r="K36" s="187"/>
      <c r="L36" s="187"/>
      <c r="M36" s="187"/>
    </row>
    <row r="37">
      <c r="G37" s="188"/>
      <c r="H37" s="188"/>
      <c r="I37" s="183"/>
      <c r="J37" s="183"/>
      <c r="K37" s="183"/>
      <c r="L37" s="183"/>
      <c r="M37" s="183"/>
    </row>
  </sheetData>
  <mergeCells count="44">
    <mergeCell ref="G6:M10"/>
    <mergeCell ref="F6:F10"/>
    <mergeCell ref="B16:D16"/>
    <mergeCell ref="B32:C32"/>
    <mergeCell ref="B31:C31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F17:F26"/>
    <mergeCell ref="G17:K26"/>
    <mergeCell ref="B4:C4"/>
    <mergeCell ref="B6:C6"/>
    <mergeCell ref="B7:C7"/>
    <mergeCell ref="B8:C8"/>
    <mergeCell ref="B9:C9"/>
    <mergeCell ref="B10:C10"/>
    <mergeCell ref="B5:C5"/>
    <mergeCell ref="B12:C12"/>
    <mergeCell ref="B13:C13"/>
    <mergeCell ref="B14:C14"/>
    <mergeCell ref="B2:D2"/>
    <mergeCell ref="B15:C15"/>
    <mergeCell ref="B11:C11"/>
    <mergeCell ref="G30:K30"/>
    <mergeCell ref="G29:K29"/>
    <mergeCell ref="G27:K27"/>
    <mergeCell ref="G32:L32"/>
    <mergeCell ref="G33:M33"/>
    <mergeCell ref="G36:M36"/>
    <mergeCell ref="G34:M35"/>
    <mergeCell ref="G4:P4"/>
    <mergeCell ref="G5:P5"/>
    <mergeCell ref="G11:J11"/>
  </mergeCells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E3" sqref="B3:F4"/>
    </sheetView>
  </sheetViews>
  <sheetFormatPr defaultRowHeight="15"/>
  <cols>
    <col min="1" max="1" width="5.8554688" style="4" customWidth="1"/>
    <col min="2" max="2" width="11.425781" style="4" customWidth="1"/>
    <col min="3" max="3" width="20.570312" style="4" customWidth="1"/>
    <col min="4" max="4" width="2.2851562" style="4" customWidth="1"/>
    <col min="5" max="5" width="23.855469" style="4" bestFit="1" customWidth="1"/>
    <col min="6" max="6" width="14.140625" style="4" customWidth="1"/>
    <col min="7" max="7" width="3.2851562" style="4" customWidth="1"/>
    <col min="8" max="16384" width="9.140625" style="4"/>
  </cols>
  <sheetData>
    <row r="2" ht="11.25" customHeight="1"/>
    <row r="3">
      <c r="B3" s="189" t="s">
        <v>236</v>
      </c>
      <c r="C3" s="190"/>
      <c r="D3" s="190"/>
      <c r="E3" s="190"/>
      <c r="F3" s="191"/>
    </row>
    <row r="4">
      <c r="B4" s="192"/>
      <c r="C4" s="193"/>
      <c r="D4" s="193"/>
      <c r="E4" s="193"/>
      <c r="F4" s="194"/>
    </row>
    <row r="5" ht="6.75" customHeight="1">
      <c r="B5" s="195"/>
      <c r="C5" s="195"/>
      <c r="D5" s="196"/>
      <c r="E5" s="195"/>
      <c r="F5" s="195"/>
    </row>
    <row r="6">
      <c r="B6" s="197" t="s">
        <v>237</v>
      </c>
      <c r="C6" s="198"/>
      <c r="D6" s="199"/>
      <c r="E6" s="200" t="s">
        <v>83</v>
      </c>
      <c r="F6" s="201"/>
    </row>
    <row r="7">
      <c r="B7" s="202"/>
      <c r="C7" s="198"/>
      <c r="D7" s="199"/>
      <c r="E7" s="77" t="str">
        <f ca="1">Datos!B16</f>
        <v>El camino de la propiedad 'NombreCompleto' no es correcto para el tipo 'ClasesBase.HojaCalculo'.</v>
      </c>
      <c r="F7" s="78"/>
    </row>
    <row r="8">
      <c r="B8" s="202"/>
      <c r="C8" s="198"/>
      <c r="D8" s="203"/>
      <c r="E8" s="204"/>
      <c r="F8" s="204"/>
    </row>
    <row r="9">
      <c r="B9" s="202"/>
      <c r="C9" s="198"/>
      <c r="D9" s="203"/>
      <c r="E9" s="205" t="s">
        <v>238</v>
      </c>
      <c r="F9" s="206" t="str">
        <f ca="1">Datos!B26</f>
        <v>El camino de la propiedad 'MontoRecibo' no es correcto para el tipo 'ClasesBase.HojaCalculo'.</v>
      </c>
    </row>
    <row r="10">
      <c r="B10" s="202"/>
      <c r="C10" s="198"/>
      <c r="D10" s="203"/>
      <c r="E10" s="205" t="s">
        <v>239</v>
      </c>
      <c r="F10" s="132">
        <f>SUM(C6:C21)</f>
        <v>0</v>
      </c>
    </row>
    <row r="11">
      <c r="B11" s="202"/>
      <c r="C11" s="198"/>
      <c r="D11" s="203"/>
      <c r="E11" s="205" t="s">
        <v>213</v>
      </c>
      <c r="F11" s="132" t="e">
        <f ca="1">F9-F10</f>
        <v>#VALUE!</v>
      </c>
      <c r="H11" s="4"/>
      <c r="I11" s="4"/>
      <c r="J11" s="4"/>
      <c r="K11" s="4"/>
      <c r="L11" s="4"/>
      <c r="M11" s="4"/>
      <c r="N11" s="4"/>
      <c r="O11" s="4"/>
    </row>
    <row r="12">
      <c r="B12" s="202"/>
      <c r="C12" s="198"/>
      <c r="D12" s="203"/>
      <c r="E12" s="104"/>
      <c r="F12" s="104"/>
      <c r="H12" s="4"/>
      <c r="I12" s="4"/>
      <c r="J12" s="104"/>
      <c r="K12" s="104"/>
      <c r="L12" s="104"/>
      <c r="M12" s="104"/>
      <c r="N12" s="4"/>
      <c r="O12" s="4"/>
    </row>
    <row r="13">
      <c r="B13" s="202"/>
      <c r="C13" s="198"/>
      <c r="D13" s="203"/>
      <c r="E13" s="207" t="s">
        <v>232</v>
      </c>
      <c r="F13" s="207"/>
      <c r="G13" s="208" t="s">
        <v>202</v>
      </c>
      <c r="H13" s="209" t="s">
        <v>240</v>
      </c>
      <c r="I13" s="209"/>
      <c r="J13" s="209"/>
      <c r="K13" s="209"/>
      <c r="L13" s="209"/>
      <c r="M13" s="104"/>
      <c r="N13" s="4"/>
      <c r="O13" s="4"/>
    </row>
    <row r="14">
      <c r="B14" s="202"/>
      <c r="C14" s="198"/>
      <c r="D14" s="203"/>
      <c r="E14" s="210" t="e">
        <f ca="1">F11*0.1</f>
        <v>#VALUE!</v>
      </c>
      <c r="F14" s="210"/>
      <c r="H14" s="4"/>
      <c r="I14" s="4"/>
      <c r="J14" s="104"/>
      <c r="K14" s="104"/>
      <c r="L14" s="104"/>
      <c r="M14" s="104"/>
      <c r="N14" s="4"/>
      <c r="O14" s="4"/>
    </row>
    <row r="15">
      <c r="B15" s="202"/>
      <c r="C15" s="198"/>
      <c r="D15" s="203"/>
      <c r="E15" s="210"/>
      <c r="F15" s="210"/>
      <c r="H15" s="4"/>
      <c r="I15" s="4"/>
      <c r="J15" s="104"/>
      <c r="K15" s="211"/>
      <c r="L15" s="212"/>
      <c r="M15" s="104"/>
      <c r="N15" s="4"/>
      <c r="O15" s="4"/>
    </row>
    <row r="16">
      <c r="B16" s="202"/>
      <c r="C16" s="198"/>
      <c r="D16" s="203"/>
      <c r="E16" s="104"/>
      <c r="F16" s="104"/>
      <c r="H16" s="4"/>
      <c r="I16" s="4"/>
      <c r="J16" s="104"/>
      <c r="K16" s="104"/>
      <c r="L16" s="104"/>
      <c r="M16" s="104"/>
      <c r="N16" s="4"/>
      <c r="O16" s="4"/>
    </row>
    <row r="17">
      <c r="B17" s="202"/>
      <c r="C17" s="198"/>
      <c r="D17" s="203"/>
      <c r="E17" s="207" t="s">
        <v>241</v>
      </c>
      <c r="F17" s="207"/>
      <c r="G17" s="208" t="s">
        <v>202</v>
      </c>
      <c r="H17" s="213" t="s">
        <v>242</v>
      </c>
      <c r="I17" s="213"/>
      <c r="J17" s="213"/>
      <c r="K17" s="213"/>
      <c r="L17" s="213"/>
      <c r="M17" s="104"/>
      <c r="N17" s="4"/>
      <c r="O17" s="4"/>
    </row>
    <row r="18">
      <c r="B18" s="202"/>
      <c r="C18" s="198"/>
      <c r="D18" s="203"/>
      <c r="E18" s="214" t="e">
        <f ca="1">F11*0.2</f>
        <v>#VALUE!</v>
      </c>
      <c r="F18" s="214"/>
      <c r="H18" s="4"/>
      <c r="I18" s="4"/>
      <c r="J18" s="104"/>
      <c r="K18" s="215"/>
      <c r="L18" s="215"/>
      <c r="M18" s="104"/>
      <c r="N18" s="4"/>
      <c r="O18" s="4"/>
    </row>
    <row r="19">
      <c r="B19" s="202"/>
      <c r="C19" s="198"/>
      <c r="D19" s="203"/>
      <c r="E19" s="214"/>
      <c r="F19" s="214"/>
      <c r="G19" s="4"/>
      <c r="H19" s="4"/>
      <c r="I19" s="4"/>
      <c r="J19" s="104"/>
      <c r="K19" s="211"/>
      <c r="L19" s="212"/>
      <c r="M19" s="104"/>
      <c r="N19" s="4"/>
      <c r="O19" s="4"/>
    </row>
    <row r="20">
      <c r="B20" s="202"/>
      <c r="C20" s="198"/>
      <c r="D20" s="203"/>
      <c r="E20" s="104"/>
      <c r="F20" s="104"/>
      <c r="G20" s="4"/>
      <c r="H20" s="4"/>
      <c r="I20" s="4"/>
      <c r="J20" s="104"/>
      <c r="K20" s="104"/>
      <c r="L20" s="104"/>
      <c r="M20" s="104"/>
      <c r="N20" s="4"/>
      <c r="O20" s="4"/>
    </row>
    <row r="21">
      <c r="B21" s="216"/>
      <c r="C21" s="198"/>
      <c r="D21" s="203"/>
      <c r="E21" s="104"/>
      <c r="F21" s="104"/>
      <c r="G21" s="4"/>
      <c r="H21" s="4"/>
      <c r="I21" s="4"/>
      <c r="J21" s="104"/>
      <c r="K21" s="104"/>
      <c r="L21" s="104"/>
      <c r="M21" s="104"/>
      <c r="N21" s="4"/>
      <c r="O21" s="4"/>
    </row>
  </sheetData>
  <mergeCells count="12">
    <mergeCell ref="B3:F4"/>
    <mergeCell ref="B6:B21"/>
    <mergeCell ref="E6:F6"/>
    <mergeCell ref="E8:F8"/>
    <mergeCell ref="E7:F7"/>
    <mergeCell ref="K18:L18"/>
    <mergeCell ref="E13:F13"/>
    <mergeCell ref="E17:F17"/>
    <mergeCell ref="E14:F15"/>
    <mergeCell ref="E18:F19"/>
    <mergeCell ref="H13:L13"/>
    <mergeCell ref="H17:L17"/>
  </mergeCells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D2" sqref="B2:G2"/>
    </sheetView>
  </sheetViews>
  <sheetFormatPr defaultRowHeight="15"/>
  <cols>
    <col min="1" max="1" width="5.5703125" customWidth="1"/>
    <col min="2" max="2" width="9.140625"/>
    <col min="3" max="3" width="20.570312" customWidth="1"/>
    <col min="4" max="4" width="14.140625" customWidth="1"/>
    <col min="5" max="5" width="2.7109375" customWidth="1"/>
    <col min="6" max="6" width="19.855469" customWidth="1"/>
    <col min="7" max="7" width="23.570312" customWidth="1"/>
  </cols>
  <sheetData>
    <row r="2" ht="31.5" customHeight="1">
      <c r="B2" s="217" t="s">
        <v>243</v>
      </c>
      <c r="C2" s="217"/>
      <c r="D2" s="217"/>
      <c r="E2" s="217"/>
      <c r="F2" s="217"/>
      <c r="G2" s="217"/>
    </row>
    <row r="3" ht="6" customHeight="1">
      <c r="B3" s="218"/>
      <c r="C3" s="218"/>
      <c r="D3" s="218"/>
      <c r="E3" s="219"/>
      <c r="F3" s="218"/>
      <c r="G3" s="218"/>
    </row>
    <row r="4">
      <c r="B4" s="220" t="s">
        <v>244</v>
      </c>
      <c r="C4" s="220"/>
      <c r="D4" s="220"/>
      <c r="E4" s="104"/>
      <c r="F4" s="220" t="s">
        <v>83</v>
      </c>
      <c r="G4" s="221" t="str">
        <f ca="1">Datos!B16</f>
        <v>El camino de la propiedad 'NombreCompleto' no es correcto para el tipo 'ClasesBase.HojaCalculo'.</v>
      </c>
    </row>
    <row r="5">
      <c r="B5" s="222">
        <v>1470</v>
      </c>
      <c r="C5" s="222" t="s">
        <v>245</v>
      </c>
      <c r="D5" s="223"/>
      <c r="E5" s="104"/>
      <c r="F5" s="220" t="s">
        <v>85</v>
      </c>
      <c r="G5" s="221" t="str">
        <f ca="1">Datos!B14</f>
        <v>El camino de la propiedad 'NroDocumento' no es correcto para el tipo 'ClasesBase.HojaCalculo'.</v>
      </c>
    </row>
    <row r="6">
      <c r="B6" s="222">
        <v>1481</v>
      </c>
      <c r="C6" s="222" t="s">
        <v>246</v>
      </c>
      <c r="D6" s="223"/>
      <c r="E6" s="104"/>
      <c r="F6" s="104"/>
      <c r="G6" s="104"/>
    </row>
    <row r="7">
      <c r="B7" s="222">
        <v>1480</v>
      </c>
      <c r="C7" s="222" t="s">
        <v>246</v>
      </c>
      <c r="D7" s="223"/>
      <c r="E7" s="104"/>
      <c r="F7" s="224" t="s">
        <v>238</v>
      </c>
      <c r="G7" s="223" t="str">
        <f ca="1">Datos!B26</f>
        <v>El camino de la propiedad 'MontoRecibo' no es correcto para el tipo 'ClasesBase.HojaCalculo'.</v>
      </c>
    </row>
    <row r="8">
      <c r="B8" s="222">
        <v>1420</v>
      </c>
      <c r="C8" s="222" t="s">
        <v>247</v>
      </c>
      <c r="D8" s="223"/>
      <c r="E8" s="104"/>
      <c r="F8" s="205" t="s">
        <v>90</v>
      </c>
      <c r="G8" s="225">
        <f>D13</f>
        <v>0</v>
      </c>
    </row>
    <row r="9">
      <c r="B9" s="222">
        <v>1318</v>
      </c>
      <c r="C9" s="222" t="s">
        <v>248</v>
      </c>
      <c r="D9" s="223"/>
      <c r="E9" s="104"/>
      <c r="F9" s="205" t="s">
        <v>249</v>
      </c>
      <c r="G9" s="225" t="e">
        <f ca="1">G7-G8</f>
        <v>#VALUE!</v>
      </c>
    </row>
    <row r="10">
      <c r="B10" s="222">
        <v>1481</v>
      </c>
      <c r="C10" s="222" t="s">
        <v>246</v>
      </c>
      <c r="D10" s="223"/>
      <c r="E10" s="104"/>
      <c r="F10" s="205" t="s">
        <v>250</v>
      </c>
      <c r="G10" s="225">
        <f>D38</f>
        <v>0</v>
      </c>
    </row>
    <row r="11">
      <c r="B11" s="222"/>
      <c r="C11" s="222"/>
      <c r="D11" s="223"/>
      <c r="E11" s="104"/>
      <c r="F11" s="205" t="s">
        <v>98</v>
      </c>
      <c r="G11" s="225">
        <f>G8+G10</f>
        <v>0</v>
      </c>
    </row>
    <row r="12">
      <c r="B12" s="222"/>
      <c r="C12" s="222"/>
      <c r="D12" s="223"/>
      <c r="E12" s="104"/>
      <c r="F12" s="226" t="s">
        <v>251</v>
      </c>
      <c r="G12" s="227"/>
    </row>
    <row r="13">
      <c r="B13" s="220" t="s">
        <v>170</v>
      </c>
      <c r="C13" s="220"/>
      <c r="D13" s="228">
        <f>SUM(D5:D12)</f>
        <v>0</v>
      </c>
      <c r="E13" s="104"/>
      <c r="F13" s="229">
        <v>0.5</v>
      </c>
      <c r="G13" s="230"/>
    </row>
    <row r="14">
      <c r="B14" s="104"/>
      <c r="C14" s="104"/>
      <c r="D14" s="231"/>
      <c r="E14" s="104"/>
      <c r="F14" s="224" t="s">
        <v>252</v>
      </c>
      <c r="G14" s="225" t="e">
        <f ca="1">G9*F13</f>
        <v>#VALUE!</v>
      </c>
    </row>
    <row r="15">
      <c r="B15" s="226" t="s">
        <v>182</v>
      </c>
      <c r="C15" s="232"/>
      <c r="D15" s="227"/>
      <c r="E15" s="104"/>
      <c r="F15" s="233"/>
      <c r="G15" s="234"/>
    </row>
    <row r="16">
      <c r="B16" s="222">
        <v>2830</v>
      </c>
      <c r="C16" s="222"/>
      <c r="D16" s="223"/>
      <c r="E16" s="104"/>
      <c r="F16" s="235" t="s">
        <v>104</v>
      </c>
      <c r="G16" s="236"/>
    </row>
    <row r="17">
      <c r="B17" s="222">
        <v>2691</v>
      </c>
      <c r="C17" s="222" t="s">
        <v>253</v>
      </c>
      <c r="D17" s="223"/>
      <c r="E17" s="104"/>
      <c r="F17" s="237"/>
      <c r="G17" s="238"/>
    </row>
    <row r="18">
      <c r="B18" s="222">
        <v>2690</v>
      </c>
      <c r="C18" s="222" t="s">
        <v>253</v>
      </c>
      <c r="D18" s="223"/>
      <c r="E18" s="104"/>
      <c r="F18" s="239" t="e">
        <f ca="1">G14-G10</f>
        <v>#VALUE!</v>
      </c>
      <c r="G18" s="240"/>
    </row>
    <row r="19" ht="15.75">
      <c r="B19" s="222">
        <v>2660</v>
      </c>
      <c r="C19" s="222" t="s">
        <v>254</v>
      </c>
      <c r="D19" s="223"/>
      <c r="E19" s="104"/>
      <c r="F19" s="241"/>
      <c r="G19" s="242"/>
    </row>
    <row r="20">
      <c r="B20" s="222">
        <v>2641</v>
      </c>
      <c r="C20" s="222" t="s">
        <v>255</v>
      </c>
      <c r="D20" s="223"/>
      <c r="E20" s="104"/>
      <c r="F20" s="104"/>
      <c r="G20" s="104"/>
    </row>
    <row r="21">
      <c r="B21" s="222">
        <v>2640</v>
      </c>
      <c r="C21" s="222" t="s">
        <v>255</v>
      </c>
      <c r="D21" s="223"/>
      <c r="E21" s="104"/>
      <c r="F21" s="104"/>
      <c r="G21" s="104"/>
    </row>
    <row r="22">
      <c r="B22" s="222">
        <v>2571</v>
      </c>
      <c r="C22" s="222" t="s">
        <v>256</v>
      </c>
      <c r="D22" s="223"/>
      <c r="E22" s="104"/>
      <c r="F22" s="104"/>
      <c r="G22" s="104"/>
    </row>
    <row r="23">
      <c r="B23" s="222">
        <v>2570</v>
      </c>
      <c r="C23" s="222" t="s">
        <v>256</v>
      </c>
      <c r="D23" s="223"/>
      <c r="E23" s="104"/>
      <c r="F23" s="104"/>
      <c r="G23" s="104"/>
    </row>
    <row r="24">
      <c r="B24" s="222">
        <v>2550</v>
      </c>
      <c r="C24" s="222" t="s">
        <v>257</v>
      </c>
      <c r="D24" s="223"/>
      <c r="E24" s="104"/>
      <c r="F24" s="104"/>
      <c r="G24" s="104"/>
    </row>
    <row r="25">
      <c r="B25" s="222">
        <v>2480</v>
      </c>
      <c r="C25" s="222" t="s">
        <v>258</v>
      </c>
      <c r="D25" s="223"/>
      <c r="E25" s="104"/>
      <c r="F25" s="104"/>
      <c r="G25" s="104"/>
    </row>
    <row r="26">
      <c r="B26" s="222">
        <v>2380</v>
      </c>
      <c r="C26" s="222" t="s">
        <v>259</v>
      </c>
      <c r="D26" s="223"/>
      <c r="E26" s="104"/>
      <c r="F26" s="104"/>
      <c r="G26" s="104"/>
    </row>
    <row r="27">
      <c r="B27" s="222">
        <v>2240</v>
      </c>
      <c r="C27" s="222" t="s">
        <v>260</v>
      </c>
      <c r="D27" s="223"/>
      <c r="E27" s="104"/>
      <c r="F27" s="104"/>
      <c r="G27" s="104"/>
    </row>
    <row r="28">
      <c r="B28" s="222">
        <v>2221</v>
      </c>
      <c r="C28" s="222" t="s">
        <v>261</v>
      </c>
      <c r="D28" s="223"/>
      <c r="E28" s="104"/>
      <c r="F28" s="104"/>
      <c r="G28" s="104"/>
    </row>
    <row r="29">
      <c r="B29" s="222">
        <v>2220</v>
      </c>
      <c r="C29" s="222" t="s">
        <v>261</v>
      </c>
      <c r="D29" s="223"/>
      <c r="E29" s="104"/>
      <c r="F29" s="104"/>
      <c r="G29" s="104"/>
    </row>
    <row r="30">
      <c r="B30" s="222">
        <v>2200</v>
      </c>
      <c r="C30" s="222" t="s">
        <v>262</v>
      </c>
      <c r="D30" s="223"/>
      <c r="E30" s="104"/>
      <c r="F30" s="104"/>
      <c r="G30" s="104"/>
    </row>
    <row r="31">
      <c r="B31" s="222">
        <v>2141</v>
      </c>
      <c r="C31" s="222" t="s">
        <v>263</v>
      </c>
      <c r="D31" s="223"/>
      <c r="E31" s="104"/>
      <c r="F31" s="104"/>
      <c r="G31" s="104"/>
    </row>
    <row r="32">
      <c r="B32" s="222">
        <v>2140</v>
      </c>
      <c r="C32" s="222" t="s">
        <v>263</v>
      </c>
      <c r="D32" s="223"/>
      <c r="E32" s="104"/>
      <c r="F32" s="104"/>
      <c r="G32" s="104"/>
    </row>
    <row r="33">
      <c r="B33" s="222">
        <v>2080</v>
      </c>
      <c r="C33" s="222" t="s">
        <v>264</v>
      </c>
      <c r="D33" s="223"/>
      <c r="E33" s="104"/>
      <c r="F33" s="104"/>
      <c r="G33" s="104"/>
    </row>
    <row r="34">
      <c r="B34" s="222">
        <v>1980</v>
      </c>
      <c r="C34" s="222" t="s">
        <v>265</v>
      </c>
      <c r="D34" s="223"/>
      <c r="E34" s="104"/>
      <c r="F34" s="104"/>
      <c r="G34" s="104"/>
    </row>
    <row r="35">
      <c r="B35" s="222">
        <v>1720</v>
      </c>
      <c r="C35" s="222" t="s">
        <v>266</v>
      </c>
      <c r="D35" s="223"/>
      <c r="E35" s="104"/>
      <c r="F35" s="104"/>
      <c r="G35" s="104"/>
    </row>
    <row r="36">
      <c r="B36" s="222">
        <v>1690</v>
      </c>
      <c r="C36" s="222" t="s">
        <v>267</v>
      </c>
      <c r="D36" s="223"/>
      <c r="E36" s="104"/>
      <c r="F36" s="104"/>
      <c r="G36" s="104"/>
    </row>
    <row r="37">
      <c r="B37" s="222">
        <v>1600</v>
      </c>
      <c r="C37" s="222" t="s">
        <v>268</v>
      </c>
      <c r="D37" s="223"/>
      <c r="E37" s="104"/>
      <c r="F37" s="104"/>
      <c r="G37" s="104"/>
    </row>
    <row r="38">
      <c r="B38" s="226" t="s">
        <v>170</v>
      </c>
      <c r="C38" s="227"/>
      <c r="D38" s="228">
        <f>SUM(D16:D37)</f>
        <v>0</v>
      </c>
      <c r="E38" s="104"/>
      <c r="F38" s="104"/>
      <c r="G38" s="104"/>
    </row>
  </sheetData>
  <mergeCells count="9">
    <mergeCell ref="B2:G2"/>
    <mergeCell ref="B4:D4"/>
    <mergeCell ref="B15:D15"/>
    <mergeCell ref="B13:C13"/>
    <mergeCell ref="B38:C38"/>
    <mergeCell ref="F12:G12"/>
    <mergeCell ref="F16:G17"/>
    <mergeCell ref="F18:G19"/>
    <mergeCell ref="F13:G13"/>
  </mergeCells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 topLeftCell="A37">
      <selection activeCell="B16" sqref="B16"/>
    </sheetView>
  </sheetViews>
  <sheetFormatPr defaultRowHeight="15"/>
  <cols>
    <col min="1" max="1" width="33.710938" style="243" customWidth="1"/>
    <col min="2" max="2" width="32.42578" style="243" customWidth="1"/>
    <col min="3" max="3" width="42.140625" style="243" customWidth="1"/>
    <col min="4" max="4" width="19.285156" style="243" customWidth="1"/>
    <col min="5" max="30" width="9.140625" style="243"/>
    <col min="31" max="34" width="9.140625" style="243"/>
  </cols>
  <sheetData>
    <row r="1" s="3" customFormat="1">
      <c r="A1" s="244" t="s">
        <v>64</v>
      </c>
      <c r="B1" s="244" t="s">
        <v>269</v>
      </c>
      <c r="C1" s="244" t="s">
        <v>270</v>
      </c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</row>
    <row r="2" s="4" customFormat="1">
      <c r="A2" s="245" t="s">
        <v>271</v>
      </c>
      <c r="B2" s="246" t="inlineStr">
        <is>
          <t>El camino de la propiedad 'Oid' no es correcto para el tipo 'ClasesBase.HojaCalculo'.</t>
        </is>
      </c>
      <c r="C2" s="245" t="s">
        <v>272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</row>
    <row r="3" s="4" customFormat="1">
      <c r="A3" s="245" t="s">
        <v>18</v>
      </c>
      <c r="B3" s="245" t="inlineStr">
        <is>
          <t>El camino de la propiedad 'LineaPrestamo' no es correcto para el tipo 'ClasesBase.HojaCalculo'.</t>
        </is>
      </c>
      <c r="C3" s="245" t="s">
        <v>273</v>
      </c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</row>
    <row r="4" s="4" customFormat="1">
      <c r="A4" s="245" t="s">
        <v>274</v>
      </c>
      <c r="B4" s="245" t="inlineStr">
        <is>
          <t>El camino de la propiedad 'LineaPrestamo.ID' no es correcto para el tipo 'ClasesBase.HojaCalculo'.</t>
        </is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</row>
    <row r="5" s="4" customFormat="1">
      <c r="A5" s="245" t="s">
        <v>20</v>
      </c>
      <c r="B5" s="245" t="inlineStr">
        <is>
          <t>El camino de la propiedad 'MontoAFinanciar' no es correcto para el tipo 'ClasesBase.HojaCalculo'.</t>
        </is>
      </c>
      <c r="C5" s="245" t="s">
        <v>275</v>
      </c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</row>
    <row r="6" s="4" customFormat="1">
      <c r="A6" s="245" t="s">
        <v>21</v>
      </c>
      <c r="B6" s="245" t="inlineStr">
        <is>
          <t>El camino de la propiedad 'Cuotas' no es correcto para el tipo 'ClasesBase.HojaCalculo'.</t>
        </is>
      </c>
      <c r="C6" s="245" t="s">
        <v>276</v>
      </c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</row>
    <row r="7" s="4" customFormat="1">
      <c r="A7" s="245" t="s">
        <v>19</v>
      </c>
      <c r="B7" s="245" t="inlineStr">
        <is>
          <t>El camino de la propiedad 'CuotaResultante' no es correcto para el tipo 'ClasesBase.HojaCalculo'.</t>
        </is>
      </c>
      <c r="C7" s="245" t="s">
        <v>277</v>
      </c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</row>
    <row r="8" s="4" customFormat="1">
      <c r="A8" s="245" t="s">
        <v>25</v>
      </c>
      <c r="B8" s="245" t="inlineStr">
        <is>
          <t>El camino de la propiedad 'TEM' no es correcto para el tipo 'ClasesBase.HojaCalculo'.</t>
        </is>
      </c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</row>
    <row r="9" s="4" customFormat="1">
      <c r="A9" s="245" t="s">
        <v>23</v>
      </c>
      <c r="B9" s="245" t="inlineStr">
        <is>
          <t>El camino de la propiedad 'VendedorSolicitud' no es correcto para el tipo 'ClasesBase.HojaCalculo'.</t>
        </is>
      </c>
      <c r="C9" s="245" t="s">
        <v>278</v>
      </c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</row>
    <row r="10" s="4" customFormat="1">
      <c r="A10" s="245" t="s">
        <v>24</v>
      </c>
      <c r="B10" s="245" t="inlineStr">
        <is>
          <t>Parser error at line 0, character 26: syntax error; ("[&lt;LineaPrestamo&gt;][[ID]=El {FAILED HERE}camino de la propiedad 'LineaPrestamo.ID' no es correcto para el tipo 'ClasesBase.HojaCalculo'.].Max([Terminos y condiciones])")</t>
        </is>
      </c>
      <c r="C10" s="245" t="s">
        <v>279</v>
      </c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</row>
    <row r="11" s="4" customFormat="1">
      <c r="A11" s="245" t="s">
        <v>280</v>
      </c>
      <c r="B11" s="247" t="inlineStr">
        <is>
          <t>El camino de la propiedad 'Fecha' no es correcto para el tipo 'ClasesBase.HojaCalculo'.</t>
        </is>
      </c>
      <c r="C11" s="245" t="s">
        <v>281</v>
      </c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</row>
    <row r="12" s="4" customFormat="1">
      <c r="A12" s="245" t="s">
        <v>282</v>
      </c>
      <c r="B12" s="247" t="inlineStr">
        <is>
          <t>El camino de la propiedad 'FechaPrimerVencimiento' no es correcto para el tipo 'ClasesBase.HojaCalculo'.</t>
        </is>
      </c>
      <c r="C12" s="245" t="s">
        <v>283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</row>
    <row r="13" s="4" customFormat="1">
      <c r="A13" s="245" t="s">
        <v>284</v>
      </c>
      <c r="B13" s="247" t="str">
        <f ca="1">IF(D13=TRUE,"SI","NO")</f>
        <v>NO</v>
      </c>
      <c r="C13" s="245" t="s">
        <v>285</v>
      </c>
      <c r="D13" s="245" t="inlineStr">
        <is>
          <t>Parser error at line 0, character 26: syntax error; ("[&lt;SocioMutual&gt;][[CUIT]=El {FAILED HERE}camino de la propiedad 'CUIT' no es correcto para el tipo 'ClasesBase.HojaCalculo'. AND [FechaAlta]&lt;=El camino de la propiedad 'Fecha' no es correcto para el tipo 'ClasesBase.HojaCalculo'.].Count()=0")</t>
        </is>
      </c>
      <c r="E13" s="245" t="str">
        <f ca="1">_xlfn.CONCAT("[&lt;SocioMutual&gt;][[CUIT]=",B15," AND [FechaAlta]&lt;=",B11,"].Count()=0")</f>
        <v>[&lt;SocioMutual&gt;][[CUIT]=El camino de la propiedad 'CUIT' no es correcto para el tipo 'ClasesBase.HojaCalculo'. AND [FechaAlta]&lt;=El camino de la propiedad 'Fecha' no es correcto para el tipo 'ClasesBase.HojaCalculo'.].Count()=0</v>
      </c>
      <c r="F13" s="245" t="inlineStr">
        <is>
          <t>El camino de la propiedad 'NuevoSocio' no es correcto para el tipo 'ClasesBase.HojaCalculo'.</t>
        </is>
      </c>
      <c r="G13" s="245" t="str">
        <f ca="1">IF(F13&lt;&gt;D13,"Parser error at line 0, character 26: syntax error; (""[&lt;SocioMutual&gt;][[CUIT]=El {FAILED HERE}camino de la propiedad 'CUIT' no es correcto para el tipo 'ClasesBase.HojaCalculo'. AND [FechaAlta]&lt;=El camino de la propiedad 'Fecha' no es correcto para el tipo","nada que grabar")</f>
        <v>Parser error at line 0, character 26: syntax error; ("[&lt;SocioMutual&gt;][[CUIT]=El {FAILED HERE}camino de la propiedad 'CUIT' no es correcto para el tipo 'ClasesBase.HojaCalculo'. AND [FechaAlta]&lt;=El camino de la propiedad 'Fecha' no es correcto para el tipo 'ClasesBase.HojaCalculo'.].Count()=0")</v>
      </c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</row>
    <row r="14" s="5" customFormat="1">
      <c r="A14" s="248" t="s">
        <v>286</v>
      </c>
      <c r="B14" s="248" t="inlineStr">
        <is>
          <t>El camino de la propiedad 'NroDocumento' no es correcto para el tipo 'ClasesBase.HojaCalculo'.</t>
        </is>
      </c>
      <c r="C14" s="248" t="s">
        <v>287</v>
      </c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</row>
    <row r="15" s="5" customFormat="1">
      <c r="A15" s="248" t="s">
        <v>288</v>
      </c>
      <c r="B15" s="248" t="inlineStr">
        <is>
          <t>El camino de la propiedad 'CUIT' no es correcto para el tipo 'ClasesBase.HojaCalculo'.</t>
        </is>
      </c>
      <c r="C15" s="248" t="s">
        <v>289</v>
      </c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</row>
    <row r="16" s="5" customFormat="1">
      <c r="A16" s="248" t="s">
        <v>290</v>
      </c>
      <c r="B16" s="248" t="inlineStr">
        <is>
          <t>El camino de la propiedad 'NombreCompleto' no es correcto para el tipo 'ClasesBase.HojaCalculo'.</t>
        </is>
      </c>
      <c r="C16" s="248" t="s">
        <v>291</v>
      </c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</row>
    <row r="17" s="5" customFormat="1">
      <c r="A17" s="248" t="s">
        <v>292</v>
      </c>
      <c r="B17" s="248" t="str">
        <f ca="1">IF(AND(D17="",B18=0),"CARGAR CUPO",IF(D17="",0,D17))</f>
        <v xml:space="preserve">Parser error at line 0, character 63: syntax error; ("[&lt;IndicadorProceso&gt;][[Dimension] = 'El camino de la propiedad '{FAILED HERE}CUIT'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].max([Proceso.FechaReferencia])].sum([Valor])")</v>
      </c>
      <c r="C17" s="248" t="s">
        <v>293</v>
      </c>
      <c r="D17" s="248" t="inlineStr">
        <is>
          <t xml:space="preserve">Parser error at line 0, character 63: syntax error; ("[&lt;IndicadorProceso&gt;][[Dimension] = 'El camino de la propiedad '{FAILED HERE}CUIT'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].max([Proceso.FechaReferencia])].sum([Valor])")</t>
        </is>
      </c>
      <c r="E17" s="248" t="str">
        <f ca="1">_xlfn.CONCAT("[&lt;IndicadorProceso&gt;][[Dimension] = '",B15,"' and [Tipo.Codigo]= '",B10,"' and [Proceso.FechaReferencia] = [&lt;IndicadorProceso&gt;][[Dimension] = '",B15,"' and [Tipo.Codigo] = '",B10,"' and [Proceso.FechaReferencia] &lt;  ",B11," ].max([Proceso.FechaReferencia])].sum([Valor])")</f>
        <v xml:space="preserve">[&lt;IndicadorProceso&gt;][[Dimension] = 'El camino de la propiedad 'CUIT'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</v>
      </c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</row>
    <row r="18" s="5" customFormat="1">
      <c r="A18" s="248" t="s">
        <v>294</v>
      </c>
      <c r="B18" s="248" t="str">
        <f ca="1">IF(D18="",0,IF(D18&lt;0,0,D18))</f>
        <v>El camino de la propiedad 'CupoTitular' no es correcto para el tipo 'ClasesBase.HojaCalculo'.</v>
      </c>
      <c r="C18" s="248"/>
      <c r="D18" s="248" t="inlineStr">
        <is>
          <t>El camino de la propiedad 'CupoTitular' no es correcto para el tipo 'ClasesBase.HojaCalculo'.</t>
        </is>
      </c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</row>
    <row r="19" s="5" customFormat="1">
      <c r="A19" s="248" t="s">
        <v>295</v>
      </c>
      <c r="B19" s="248" t="str">
        <f ca="1" t="shared" ref="B19:B20" si="0">IF(D19&lt;&gt;"",D19,0)</f>
        <v>Parser error at line 0, character 42: syntax error; ("[&lt;Prestamo&gt;][[SocioTitular.Socio.CUIT]=El {FAILED HERE}camino de la propiedad 'CUIT' no es correcto para el tipo 'ClasesBase.HojaCalculo'.].Sum([DeudaTotal])")</v>
      </c>
      <c r="C19" s="248" t="s">
        <v>296</v>
      </c>
      <c r="D19" s="248" t="inlineStr">
        <is>
          <t>Parser error at line 0, character 42: syntax error; ("[&lt;Prestamo&gt;][[SocioTitular.Socio.CUIT]=El {FAILED HERE}camino de la propiedad 'CUIT' no es correcto para el tipo 'ClasesBase.HojaCalculo'.].Sum([DeudaTotal])")</t>
        </is>
      </c>
      <c r="E19" s="248" t="str">
        <f ca="1">_xlfn.CONCAT("[&lt;Prestamo&gt;][[SocioTitular.Socio.CUIT]=",B15,"].Sum([DeudaTotal])")</f>
        <v>[&lt;Prestamo&gt;][[SocioTitular.Socio.CUIT]=El camino de la propiedad 'CUIT' no es correcto para el tipo 'ClasesBase.HojaCalculo'.].Sum([DeudaTotal])</v>
      </c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</row>
    <row r="20" s="5" customFormat="1">
      <c r="A20" s="248" t="s">
        <v>297</v>
      </c>
      <c r="B20" s="248" t="str">
        <f ca="1" t="shared" si="0"/>
        <v>Parser error at line 0, character 108: syntax error; ("[&lt;CuotaPrestamo&gt;][IsNextMonth([Fecha]) And [FechaCobro] Is Null And [Prestamo.Integrantes][[Socio.CUIT] =El {FAILED HERE}camino de la propiedad 'CUIT' no es correcto para el tipo 'ClasesBase.HojaCalculo'.]].Sum([MontoTotal])")</v>
      </c>
      <c r="C20" s="248" t="s">
        <v>298</v>
      </c>
      <c r="D20" s="248" t="inlineStr">
        <is>
          <t>Parser error at line 0, character 108: syntax error; ("[&lt;CuotaPrestamo&gt;][IsNextMonth([Fecha]) And [FechaCobro] Is Null And [Prestamo.Integrantes][[Socio.CUIT] =El {FAILED HERE}camino de la propiedad 'CUIT' no es correcto para el tipo 'ClasesBase.HojaCalculo'.]].Sum([MontoTotal])")</t>
        </is>
      </c>
      <c r="E20" s="248" t="str">
        <f ca="1">_xlfn.CONCAT("[&lt;CuotaPrestamo&gt;][IsNextMonth([Fecha]) And [FechaCobro] Is Null And [Prestamo.Integrantes][[Socio.CUIT] =",B15,"]].Sum([MontoTotal])")</f>
        <v>[&lt;CuotaPrestamo&gt;][IsNextMonth([Fecha]) And [FechaCobro] Is Null And [Prestamo.Integrantes][[Socio.CUIT] =El camino de la propiedad 'CUIT' no es correcto para el tipo 'ClasesBase.HojaCalculo'.]].Sum([MontoTotal])</v>
      </c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</row>
    <row r="21" s="5" customFormat="1">
      <c r="A21" s="248" t="s">
        <v>299</v>
      </c>
      <c r="B21" s="248" t="str">
        <f ca="1">IF(D21=TRUE,"SI","NO")</f>
        <v>NO</v>
      </c>
      <c r="C21" s="248" t="s">
        <v>300</v>
      </c>
      <c r="D21" s="248" t="inlineStr">
        <is>
          <t xml:space="preserve">Parser error at line 0, character 63: syntax error; ("[&lt;IndicadorProceso&gt;][[Dimension] = 'El camino de la propiedad '{FAILED HERE}CUIT' no es correcto para el tipo 'ClasesBase.HojaCalculo'.' and [Tipo.Codigo]= 'Quiebra' and [Proceso.FechaReferencia] = [&lt;IndicadorProceso&gt;][[Dimension] = 'El camino de la propiedad 'CUIT' no es correcto para el tipo 'ClasesBase.HojaCalculo'.' and [Tipo.Codigo] = 'Quiebra' and [Proceso.FechaReferencia] &lt;  El camino de la propiedad 'Fecha' no es correcto para el tipo 'ClasesBase.HojaCalculo'. ].max([Proceso.FechaReferencia])]")</t>
        </is>
      </c>
      <c r="E21" s="248" t="str">
        <f ca="1">_xlfn.CONCAT("[&lt;IndicadorProceso&gt;][[Dimension] = '",B15,"' and [Tipo.Codigo]= 'Quiebra' and [Proceso.FechaReferencia] = [&lt;IndicadorProceso&gt;][[Dimension] = '",B15,"' and [Tipo.Codigo] = 'Quiebra' and [Proceso.FechaReferencia] &lt;  ",B11," ].max([Proceso.FechaReferencia])]")</f>
        <v xml:space="preserve">[&lt;IndicadorProceso&gt;][[Dimension] = 'El camino de la propiedad 'CUIT' no es correcto para el tipo 'ClasesBase.HojaCalculo'.' and [Tipo.Codigo]= 'Quiebra' and [Proceso.FechaReferencia] = [&lt;IndicadorProceso&gt;][[Dimension] = 'El camino de la propiedad 'CUIT' no es correcto para el tipo 'ClasesBase.HojaCalculo'.' and [Tipo.Codigo] = 'Quiebra' and [Proceso.FechaReferencia] &lt;  El camino de la propiedad 'Fecha' no es correcto para el tipo 'ClasesBase.HojaCalculo'. ].max([Proceso.FechaReferencia])]</v>
      </c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</row>
    <row r="22" s="5" customFormat="1">
      <c r="A22" s="248" t="s">
        <v>301</v>
      </c>
      <c r="B22" s="248" t="str">
        <f ca="1">IF(D22="","SIN DATOS",IF(D22="Necesitan entrar mas cuotas","Prestamo Reciente",D22))</f>
        <v>Parser error at line 0, character 26: syntax error; ("[&lt;SocioMutual&gt;][[CUIT]=El {FAILED HERE}camino de la propiedad 'CUIT' no es correcto para el tipo 'ClasesBase.HojaCalculo'.].Max([Renovaciones Final])")</v>
      </c>
      <c r="C22" s="248" t="s">
        <v>302</v>
      </c>
      <c r="D22" s="248" t="inlineStr">
        <is>
          <t>Parser error at line 0, character 26: syntax error; ("[&lt;SocioMutual&gt;][[CUIT]=El {FAILED HERE}camino de la propiedad 'CUIT' no es correcto para el tipo 'ClasesBase.HojaCalculo'.].Max([Renovaciones Final])")</t>
        </is>
      </c>
      <c r="E22" s="248" t="str">
        <f ca="1">_xlfn.CONCAT("[&lt;SocioMutual&gt;][[CUIT]=",B15,"].Max([Renovaciones Final])")</f>
        <v>[&lt;SocioMutual&gt;][[CUIT]=El camino de la propiedad 'CUIT' no es correcto para el tipo 'ClasesBase.HojaCalculo'.].Max([Renovaciones Final])</v>
      </c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</row>
    <row r="23" s="5" customFormat="1">
      <c r="A23" s="248" t="s">
        <v>303</v>
      </c>
      <c r="B23" s="248" t="str">
        <f ca="1">IF(B22="SIN DATOS","SIN DATOS",IF(D23="","NO",IF(D23&gt;0,"SI","NO")))</f>
        <v>SI</v>
      </c>
      <c r="C23" s="248" t="s">
        <v>304</v>
      </c>
      <c r="D23" s="248" t="inlineStr">
        <is>
          <t>Parser error at line 0, character 26: syntax error; ("[&lt;SocioMutual&gt;][[CUIT]=El {FAILED HERE}camino de la propiedad 'CUIT' no es correcto para el tipo 'ClasesBase.HojaCalculo'.].Max([Rechazos en el Mes])")</t>
        </is>
      </c>
      <c r="E23" s="248" t="str">
        <f ca="1">_xlfn.CONCAT("[&lt;SocioMutual&gt;][[CUIT]=",B15,"].Max([Rechazos en el Mes])")</f>
        <v>[&lt;SocioMutual&gt;][[CUIT]=El camino de la propiedad 'CUIT' no es correcto para el tipo 'ClasesBase.HojaCalculo'.].Max([Rechazos en el Mes])</v>
      </c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</row>
    <row r="24" s="5" customFormat="1">
      <c r="A24" s="248" t="s">
        <v>305</v>
      </c>
      <c r="B24" s="248">
        <f ca="1">IF(D24&lt;1,"",D24)</f>
        <v>1</v>
      </c>
      <c r="C24" s="248" t="s">
        <v>306</v>
      </c>
      <c r="D24" s="248">
        <f ca="1" t="shared" ref="D24:D25" si="1">IF(E24&lt;&gt;"",_xlfn.NUMBERVALUE(E24),_xlfn.NUMBERVALUE(1))</f>
        <v>1</v>
      </c>
      <c r="E24" s="248" t="inlineStr">
        <is>
          <t/>
        </is>
      </c>
      <c r="F24" s="248" t="inlineStr">
        <is>
          <t>El camino de la propiedad 'NivelRiesgo' no es correcto para el tipo 'ClasesBase.HojaCalculo'.</t>
        </is>
      </c>
      <c r="G24" s="248">
        <f ca="1">IF(F24&lt;&gt;Evaluacion!D30,1,"nada que grabar")</f>
        <v>1</v>
      </c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</row>
    <row r="25" s="5" customFormat="1">
      <c r="A25" s="248" t="s">
        <v>307</v>
      </c>
      <c r="B25" s="248">
        <f ca="1" t="shared" ref="B25" si="2">IF(D25&lt;1,"",D25)</f>
        <v>1</v>
      </c>
      <c r="C25" s="248" t="s">
        <v>306</v>
      </c>
      <c r="D25" s="248">
        <f ca="1" t="shared" si="1"/>
        <v>1</v>
      </c>
      <c r="E25" s="248" t="inlineStr">
        <is>
          <t/>
        </is>
      </c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</row>
    <row r="26" s="5" customFormat="1">
      <c r="A26" s="248" t="s">
        <v>308</v>
      </c>
      <c r="B26" s="248" t="inlineStr">
        <is>
          <t>El camino de la propiedad 'MontoRecibo' no es correcto para el tipo 'ClasesBase.HojaCalculo'.</t>
        </is>
      </c>
      <c r="C26" s="248" t="s">
        <v>309</v>
      </c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</row>
    <row r="27" s="5" customFormat="1">
      <c r="A27" s="248" t="s">
        <v>310</v>
      </c>
      <c r="B27" s="248" t="inlineStr">
        <is>
          <t>El camino de la propiedad 'Antiguedad' no es correcto para el tipo 'ClasesBase.HojaCalculo'.</t>
        </is>
      </c>
      <c r="C27" s="248" t="s">
        <v>311</v>
      </c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</row>
    <row r="28" s="4" customFormat="1">
      <c r="A28" s="245" t="s">
        <v>312</v>
      </c>
      <c r="B28" s="245" t="inlineStr">
        <is>
          <t>El camino de la propiedad 'Adicional1.NroDocumento' no es correcto para el tipo 'ClasesBase.HojaCalculo'.</t>
        </is>
      </c>
      <c r="C28" s="245" t="s">
        <v>313</v>
      </c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</row>
    <row r="29" s="4" customFormat="1">
      <c r="A29" s="245" t="s">
        <v>314</v>
      </c>
      <c r="B29" s="245" t="inlineStr">
        <is>
          <t>El camino de la propiedad 'Adicional1.CUIT' no es correcto para el tipo 'ClasesBase.HojaCalculo'.</t>
        </is>
      </c>
      <c r="C29" s="245" t="s">
        <v>315</v>
      </c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</row>
    <row r="30" s="4" customFormat="1">
      <c r="A30" s="245" t="s">
        <v>316</v>
      </c>
      <c r="B30" s="245" t="inlineStr">
        <is>
          <t>El camino de la propiedad 'Adicional1.NombreCompleto' no es correcto para el tipo 'ClasesBase.HojaCalculo'.</t>
        </is>
      </c>
      <c r="C30" s="245" t="s">
        <v>317</v>
      </c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</row>
    <row r="31" s="4" customFormat="1">
      <c r="A31" s="245" t="s">
        <v>318</v>
      </c>
      <c r="B31" s="245"/>
      <c r="C31" s="245" t="s">
        <v>293</v>
      </c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</row>
    <row r="32" s="4" customFormat="1">
      <c r="A32" s="245" t="s">
        <v>319</v>
      </c>
      <c r="B32" s="248" t="str">
        <f ca="1" t="shared" ref="B32" si="3">IF(D32&lt;&gt;"",D32,0)</f>
        <v>Parser error at line 0, character 42: syntax error; ("[&lt;Prestamo&gt;][[SocioTitular.Socio.CUIT]=El {FAILED HERE}camino de la propiedad 'Adicional1.CUIT' no es correcto para el tipo 'ClasesBase.HojaCalculo'.].Sum([DeudaTotal])")</v>
      </c>
      <c r="C32" s="245" t="s">
        <v>296</v>
      </c>
      <c r="D32" s="248" t="str">
        <f ca="1">IF(B29&lt;&gt;"","Parser error at line 0, character 42: syntax error; (""[&lt;Prestamo&gt;][[SocioTitular.Socio.CUIT]=El {FAILED HERE}camino de la propiedad 'Adicional1.CUIT' no es correcto para el tipo 'ClasesBase.HojaCalculo'.].Sum([DeudaTotal])"")","")</f>
        <v>Parser error at line 0, character 42: syntax error; ("[&lt;Prestamo&gt;][[SocioTitular.Socio.CUIT]=El {FAILED HERE}camino de la propiedad 'Adicional1.CUIT' no es correcto para el tipo 'ClasesBase.HojaCalculo'.].Sum([DeudaTotal])")</v>
      </c>
      <c r="E32" s="248" t="str">
        <f ca="1">_xlfn.CONCAT("[&lt;Prestamo&gt;][[SocioTitular.Socio.CUIT]=",B29,"].Sum([DeudaTotal])")</f>
        <v>[&lt;Prestamo&gt;][[SocioTitular.Socio.CUIT]=El camino de la propiedad 'Adicional1.CUIT' no es correcto para el tipo 'ClasesBase.HojaCalculo'.].Sum([DeudaTotal])</v>
      </c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</row>
    <row r="33" s="4" customFormat="1">
      <c r="A33" s="245" t="s">
        <v>320</v>
      </c>
      <c r="B33" s="248" t="str">
        <f ca="1" t="shared" ref="B33" si="4">IF(D33&lt;&gt;"",D33,0)</f>
        <v>Parser error at line 0, character 108: syntax error; ("[&lt;CuotaPrestamo&gt;][IsNextMonth([Fecha]) And [FechaCobro] Is Null And [Prestamo.Integrantes][[Socio.CUIT] =El {FAILED HERE}camino de la propiedad 'Adicional1.CUIT' no es correcto para el tipo 'ClasesBase.HojaCalculo'.]].Sum([MontoTotal])")</v>
      </c>
      <c r="C33" s="245"/>
      <c r="D33" s="248" t="str">
        <f ca="1">IF(B29&lt;&gt;"","Parser error at line 0, character 108: syntax error; (""[&lt;CuotaPrestamo&gt;][IsNextMonth([Fecha]) And [FechaCobro] Is Null And [Prestamo.Integrantes][[Socio.CUIT] =El {FAILED HERE}camino de la propiedad 'Adicional1.CUIT' no es correcto para el tipo 'ClasesBas","")</f>
        <v>Parser error at line 0, character 108: syntax error; ("[&lt;CuotaPrestamo&gt;][IsNextMonth([Fecha]) And [FechaCobro] Is Null And [Prestamo.Integrantes][[Socio.CUIT] =El {FAILED HERE}camino de la propiedad 'Adicional1.CUIT' no es correcto para el tipo 'ClasesBase.HojaCalculo'.]].Sum([MontoTotal])")</v>
      </c>
      <c r="E33" s="248" t="str">
        <f ca="1">_xlfn.CONCAT("[&lt;CuotaPrestamo&gt;][IsNextMonth([Fecha]) And [FechaCobro] Is Null And [Prestamo.Integrantes][[Socio.CUIT] =",B29,"]].Sum([MontoTotal])")</f>
        <v>[&lt;CuotaPrestamo&gt;][IsNextMonth([Fecha]) And [FechaCobro] Is Null And [Prestamo.Integrantes][[Socio.CUIT] =El camino de la propiedad 'Adicional1.CUIT' no es correcto para el tipo 'ClasesBase.HojaCalculo'.]].Sum([MontoTotal])</v>
      </c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</row>
    <row r="34" s="4" customFormat="1">
      <c r="A34" s="245" t="s">
        <v>321</v>
      </c>
      <c r="B34" s="248" t="str">
        <f ca="1">IF(D34=TRUE,"SI","NO")</f>
        <v>NO</v>
      </c>
      <c r="C34" s="245" t="s">
        <v>300</v>
      </c>
      <c r="D34" s="248" t="inlineStr">
        <is>
          <t xml:space="preserve">Parser error at line 0, character 63: syntax error; ("[&lt;IndicadorProceso&gt;][[Dimension] = 'El camino de la propiedad '{FAILED HERE}Adicional1.CUIT' no es correcto para el tipo 'ClasesBase.HojaCalculo'.' and [Tipo.Codigo]= 'Quiebra' and [Proceso.FechaReferencia] = [&lt;IndicadorProceso&gt;][[Dimension] = 'El camino de la propiedad 'Adicional1.CUIT' no es correcto para el tipo 'ClasesBase.HojaCalculo'.' and [Tipo.Codigo] = 'Quiebra' and [Proceso.FechaReferencia] &lt;  El camino de la propiedad 'Fecha' no es correcto para el tipo 'ClasesBase.HojaCalculo'. ].max([Proceso.FechaReferencia])]")</t>
        </is>
      </c>
      <c r="E34" s="245" t="str">
        <f ca="1">_xlfn.CONCAT("[&lt;IndicadorProceso&gt;][[Dimension] = '",B29,"' and [Tipo.Codigo]= 'Quiebra' and [Proceso.FechaReferencia] = [&lt;IndicadorProceso&gt;][[Dimension] = '",B29,"' and [Tipo.Codigo] = 'Quiebra' and [Proceso.FechaReferencia] &lt;  ",B11," ].max([Proceso.FechaReferencia])]")</f>
        <v xml:space="preserve">[&lt;IndicadorProceso&gt;][[Dimension] = 'El camino de la propiedad 'Adicional1.CUIT' no es correcto para el tipo 'ClasesBase.HojaCalculo'.' and [Tipo.Codigo]= 'Quiebra' and [Proceso.FechaReferencia] = [&lt;IndicadorProceso&gt;][[Dimension] = 'El camino de la propiedad 'Adicional1.CUIT' no es correcto para el tipo 'ClasesBase.HojaCalculo'.' and [Tipo.Codigo] = 'Quiebra' and [Proceso.FechaReferencia] &lt;  El camino de la propiedad 'Fecha' no es correcto para el tipo 'ClasesBase.HojaCalculo'. ].max([Proceso.FechaReferencia])]</v>
      </c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</row>
    <row r="35" s="4" customFormat="1">
      <c r="A35" s="245" t="s">
        <v>322</v>
      </c>
      <c r="B35" s="248" t="str">
        <f ca="1">IF(D35="","SIN DATOS",IF(D35="Necesitan entrar mas cuotas","Prestamo Reciente",D35))</f>
        <v>Parser error at line 0, character 26: syntax error; ("[&lt;SocioMutual&gt;][[CUIT]=El {FAILED HERE}camino de la propiedad 'Adicional1.CUIT' no es correcto para el tipo 'ClasesBase.HojaCalculo'.].Max([Renovaciones Final])")</v>
      </c>
      <c r="C35" s="245" t="s">
        <v>302</v>
      </c>
      <c r="D35" s="248" t="str">
        <f ca="1">IF(B29="","","Parser error at line 0, character 26: syntax error; (""[&lt;SocioMutual&gt;][[CUIT]=El {FAILED HERE}camino de la propiedad 'Adicional1.CUIT' no es correcto para el tipo 'ClasesBase.HojaCalculo'.].Max([Renovaciones Final])"")")</f>
        <v>Parser error at line 0, character 26: syntax error; ("[&lt;SocioMutual&gt;][[CUIT]=El {FAILED HERE}camino de la propiedad 'Adicional1.CUIT' no es correcto para el tipo 'ClasesBase.HojaCalculo'.].Max([Renovaciones Final])")</v>
      </c>
      <c r="E35" s="248" t="str">
        <f ca="1">_xlfn.CONCAT("[&lt;SocioMutual&gt;][[CUIT]=",B29,"].Max([Renovaciones Final])")</f>
        <v>[&lt;SocioMutual&gt;][[CUIT]=El camino de la propiedad 'Adicional1.CUIT' no es correcto para el tipo 'ClasesBase.HojaCalculo'.].Max([Renovaciones Final])</v>
      </c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</row>
    <row r="36" s="4" customFormat="1">
      <c r="A36" s="245" t="s">
        <v>323</v>
      </c>
      <c r="B36" s="248" t="str">
        <f ca="1">IF(B35="SIN DATOS","SIN DATOS",IF(D36="","NO",IF(D36&gt;0,"SI","NO")))</f>
        <v>SI</v>
      </c>
      <c r="C36" s="245" t="s">
        <v>304</v>
      </c>
      <c r="D36" s="248" t="inlineStr">
        <is>
          <t>Parser error at line 0, character 26: syntax error; ("[&lt;SocioMutual&gt;][[CUIT]=El {FAILED HERE}camino de la propiedad 'Adicional1.CUIT' no es correcto para el tipo 'ClasesBase.HojaCalculo'.].Max([Rechazos en el Mes])")</t>
        </is>
      </c>
      <c r="E36" s="248" t="str">
        <f ca="1">_xlfn.CONCAT("[&lt;SocioMutual&gt;][[CUIT]=",B29,"].Max([Rechazos en el Mes])")</f>
        <v>[&lt;SocioMutual&gt;][[CUIT]=El camino de la propiedad 'Adicional1.CUIT' no es correcto para el tipo 'ClasesBase.HojaCalculo'.].Max([Rechazos en el Mes])</v>
      </c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</row>
    <row r="37" s="4" customFormat="1">
      <c r="A37" s="245" t="s">
        <v>324</v>
      </c>
      <c r="B37" s="248" t="str">
        <f ca="1" t="shared" ref="B37:B38" si="5">IF(D37&lt;1,"",D37)</f>
        <v/>
      </c>
      <c r="C37" s="245" t="s">
        <v>306</v>
      </c>
      <c r="D37" s="248" t="inlineStr">
        <is>
          <t/>
        </is>
      </c>
      <c r="E37" s="245" t="inlineStr">
        <is>
          <t/>
        </is>
      </c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</row>
    <row r="38" s="4" customFormat="1">
      <c r="A38" s="245" t="s">
        <v>325</v>
      </c>
      <c r="B38" s="248" t="str">
        <f ca="1" t="shared" si="5"/>
        <v/>
      </c>
      <c r="C38" s="245" t="s">
        <v>326</v>
      </c>
      <c r="D38" s="248" t="inlineStr">
        <is>
          <t/>
        </is>
      </c>
      <c r="E38" s="245" t="inlineStr">
        <is>
          <t/>
        </is>
      </c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</row>
    <row r="39" s="4" customFormat="1">
      <c r="A39" s="245" t="s">
        <v>327</v>
      </c>
      <c r="B39" s="245" t="str">
        <f ca="1">IF(B29="",0,"El camino de la propiedad 'Adicional1.IngresoMensual' no es correcto para el tipo 'ClasesBase.HojaCalculo'.")</f>
        <v>El camino de la propiedad 'Adicional1.IngresoMensual' no es correcto para el tipo 'ClasesBase.HojaCalculo'.</v>
      </c>
      <c r="C39" s="245" t="s">
        <v>328</v>
      </c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</row>
    <row r="40" s="4" customFormat="1">
      <c r="A40" s="245" t="s">
        <v>329</v>
      </c>
      <c r="B40" s="245" t="str">
        <f ca="1">IF(B29="",0,"El camino de la propiedad 'Adicional1.AntiguedadLaboralMeses' no es correcto para el tipo 'ClasesBase.HojaCalculo'.")</f>
        <v>El camino de la propiedad 'Adicional1.AntiguedadLaboralMeses' no es correcto para el tipo 'ClasesBase.HojaCalculo'.</v>
      </c>
      <c r="C40" s="245" t="s">
        <v>311</v>
      </c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</row>
    <row r="41" s="5" customFormat="1">
      <c r="A41" s="248" t="s">
        <v>330</v>
      </c>
      <c r="B41" s="245" t="inlineStr">
        <is>
          <t>El camino de la propiedad 'Adicional2.NroDocumento' no es correcto para el tipo 'ClasesBase.HojaCalculo'.</t>
        </is>
      </c>
      <c r="C41" s="248" t="s">
        <v>331</v>
      </c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</row>
    <row r="42" s="5" customFormat="1">
      <c r="A42" s="248" t="s">
        <v>332</v>
      </c>
      <c r="B42" s="245" t="inlineStr">
        <is>
          <t>El camino de la propiedad 'Adicional2.CUIT' no es correcto para el tipo 'ClasesBase.HojaCalculo'.</t>
        </is>
      </c>
      <c r="C42" s="248" t="s">
        <v>315</v>
      </c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/>
      <c r="AE42" s="248"/>
      <c r="AF42" s="248"/>
      <c r="AG42" s="248"/>
      <c r="AH42" s="248"/>
    </row>
    <row r="43" s="5" customFormat="1">
      <c r="A43" s="248" t="s">
        <v>333</v>
      </c>
      <c r="B43" s="245" t="inlineStr">
        <is>
          <t>El camino de la propiedad 'Adicional2.NombreCompleto' no es correcto para el tipo 'ClasesBase.HojaCalculo'.</t>
        </is>
      </c>
      <c r="C43" s="248" t="s">
        <v>317</v>
      </c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</row>
    <row r="44" s="5" customFormat="1">
      <c r="A44" s="248" t="s">
        <v>334</v>
      </c>
      <c r="B44" s="245"/>
      <c r="C44" s="248" t="s">
        <v>293</v>
      </c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</row>
    <row r="45" s="5" customFormat="1">
      <c r="A45" s="248" t="s">
        <v>335</v>
      </c>
      <c r="B45" s="248" t="str">
        <f ca="1" t="shared" ref="B45" si="6">IF(D45&lt;&gt;"",D45,0)</f>
        <v>Parser error at line 0, character 42: syntax error; ("[&lt;Prestamo&gt;][[SocioTitular.Socio.CUIT]=El {FAILED HERE}camino de la propiedad 'Adicional2.CUIT' no es correcto para el tipo 'ClasesBase.HojaCalculo'.].Sum([DeudaTotal])")</v>
      </c>
      <c r="C45" s="248" t="s">
        <v>296</v>
      </c>
      <c r="D45" s="248" t="str">
        <f ca="1">IF(B42&lt;&gt;"","Parser error at line 0, character 42: syntax error; (""[&lt;Prestamo&gt;][[SocioTitular.Socio.CUIT]=El {FAILED HERE}camino de la propiedad 'Adicional2.CUIT' no es correcto para el tipo 'ClasesBase.HojaCalculo'.].Sum([DeudaTotal])"")","")</f>
        <v>Parser error at line 0, character 42: syntax error; ("[&lt;Prestamo&gt;][[SocioTitular.Socio.CUIT]=El {FAILED HERE}camino de la propiedad 'Adicional2.CUIT' no es correcto para el tipo 'ClasesBase.HojaCalculo'.].Sum([DeudaTotal])")</v>
      </c>
      <c r="E45" s="248" t="str">
        <f ca="1">_xlfn.CONCAT("[&lt;Prestamo&gt;][[SocioTitular.Socio.CUIT]=",B42,"].Sum([DeudaTotal])")</f>
        <v>[&lt;Prestamo&gt;][[SocioTitular.Socio.CUIT]=El camino de la propiedad 'Adicional2.CUIT' no es correcto para el tipo 'ClasesBase.HojaCalculo'.].Sum([DeudaTotal])</v>
      </c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  <c r="AF45" s="248"/>
      <c r="AG45" s="248"/>
      <c r="AH45" s="248"/>
    </row>
    <row r="46" s="5" customFormat="1">
      <c r="A46" s="248" t="s">
        <v>336</v>
      </c>
      <c r="B46" s="248" t="str">
        <f ca="1" t="shared" ref="B46" si="7">IF(D46&lt;&gt;"",D46,0)</f>
        <v>Parser error at line 0, character 108: syntax error; ("[&lt;CuotaPrestamo&gt;][IsNextMonth([Fecha]) And [FechaCobro] Is Null And [Prestamo.Integrantes][[Socio.CUIT] =El {FAILED HERE}camino de la propiedad 'Adicional2.CUIT' no es correcto para el tipo 'ClasesBase.HojaCalculo'.]].Sum([MontoTotal])")</v>
      </c>
      <c r="C46" s="248"/>
      <c r="D46" s="248" t="str">
        <f ca="1">IF(B42&lt;&gt;"","Parser error at line 0, character 108: syntax error; (""[&lt;CuotaPrestamo&gt;][IsNextMonth([Fecha]) And [FechaCobro] Is Null And [Prestamo.Integrantes][[Socio.CUIT] =El {FAILED HERE}camino de la propiedad 'Adicional2.CUIT' no es correcto para el tipo 'ClasesBas","")</f>
        <v>Parser error at line 0, character 108: syntax error; ("[&lt;CuotaPrestamo&gt;][IsNextMonth([Fecha]) And [FechaCobro] Is Null And [Prestamo.Integrantes][[Socio.CUIT] =El {FAILED HERE}camino de la propiedad 'Adicional2.CUIT' no es correcto para el tipo 'ClasesBase.HojaCalculo'.]].Sum([MontoTotal])")</v>
      </c>
      <c r="E46" s="248" t="str">
        <f ca="1">_xlfn.CONCAT("[&lt;CuotaPrestamo&gt;][IsNextMonth([Fecha]) And [FechaCobro] Is Null And [Prestamo.Integrantes][[Socio.CUIT] =",B42,"]].Sum([MontoTotal])")</f>
        <v>[&lt;CuotaPrestamo&gt;][IsNextMonth([Fecha]) And [FechaCobro] Is Null And [Prestamo.Integrantes][[Socio.CUIT] =El camino de la propiedad 'Adicional2.CUIT' no es correcto para el tipo 'ClasesBase.HojaCalculo'.]].Sum([MontoTotal])</v>
      </c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  <c r="AF46" s="248"/>
      <c r="AG46" s="248"/>
      <c r="AH46" s="248"/>
    </row>
    <row r="47" s="5" customFormat="1">
      <c r="A47" s="248" t="s">
        <v>337</v>
      </c>
      <c r="B47" s="248" t="str">
        <f ca="1">IF(D47=TRUE,"SI","NO")</f>
        <v>NO</v>
      </c>
      <c r="C47" s="248" t="s">
        <v>300</v>
      </c>
      <c r="D47" s="248" t="inlineStr">
        <is>
          <t xml:space="preserve">Parser error at line 0, character 63: syntax error; ("[&lt;IndicadorProceso&gt;][[Dimension] = 'El camino de la propiedad '{FAILED HERE}Adicional2.CUIT' no es correcto para el tipo 'ClasesBase.HojaCalculo'.' and [Tipo.Codigo]= 'Quiebra' and [Proceso.FechaReferencia] = [&lt;IndicadorProceso&gt;][[Dimension] = 'El camino de la propiedad 'Adicional2.CUIT' no es correcto para el tipo 'ClasesBase.HojaCalculo'.' and [Tipo.Codigo] = 'Quiebra' and [Proceso.FechaReferencia] &lt;  El camino de la propiedad 'Fecha' no es correcto para el tipo 'ClasesBase.HojaCalculo'. ].max([Proceso.FechaReferencia])]")</t>
        </is>
      </c>
      <c r="E47" s="248" t="str">
        <f ca="1">_xlfn.CONCAT("[&lt;IndicadorProceso&gt;][[Dimension] = '",B42,"' and [Tipo.Codigo]= 'Quiebra' and [Proceso.FechaReferencia] = [&lt;IndicadorProceso&gt;][[Dimension] = '",B42,"' and [Tipo.Codigo] = 'Quiebra' and [Proceso.FechaReferencia] &lt;  ",B11," ].max([Proceso.FechaReferencia])]")</f>
        <v xml:space="preserve">[&lt;IndicadorProceso&gt;][[Dimension] = 'El camino de la propiedad 'Adicional2.CUIT' no es correcto para el tipo 'ClasesBase.HojaCalculo'.' and [Tipo.Codigo]= 'Quiebra' and [Proceso.FechaReferencia] = [&lt;IndicadorProceso&gt;][[Dimension] = 'El camino de la propiedad 'Adicional2.CUIT' no es correcto para el tipo 'ClasesBase.HojaCalculo'.' and [Tipo.Codigo] = 'Quiebra' and [Proceso.FechaReferencia] &lt;  El camino de la propiedad 'Fecha' no es correcto para el tipo 'ClasesBase.HojaCalculo'. ].max([Proceso.FechaReferencia])]</v>
      </c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</row>
    <row r="48" s="5" customFormat="1">
      <c r="A48" s="248" t="s">
        <v>338</v>
      </c>
      <c r="B48" s="248" t="str">
        <f ca="1">IF(D48="","SIN DATOS",IF(D48="Necesitan entrar mas cuotas","Prestamo Reciente",D48))</f>
        <v>Parser error at line 0, character 26: syntax error; ("[&lt;SocioMutual&gt;][[CUIT]=El {FAILED HERE}camino de la propiedad 'Adicional2.CUIT' no es correcto para el tipo 'ClasesBase.HojaCalculo'.].Max([Renovaciones Final])")</v>
      </c>
      <c r="C48" s="248" t="s">
        <v>302</v>
      </c>
      <c r="D48" s="248" t="str">
        <f ca="1">IF(B42="","","Parser error at line 0, character 26: syntax error; (""[&lt;SocioMutual&gt;][[CUIT]=El {FAILED HERE}camino de la propiedad 'Adicional2.CUIT' no es correcto para el tipo 'ClasesBase.HojaCalculo'.].Max([Renovaciones Final])"")")</f>
        <v>Parser error at line 0, character 26: syntax error; ("[&lt;SocioMutual&gt;][[CUIT]=El {FAILED HERE}camino de la propiedad 'Adicional2.CUIT' no es correcto para el tipo 'ClasesBase.HojaCalculo'.].Max([Renovaciones Final])")</v>
      </c>
      <c r="E48" s="248" t="str">
        <f ca="1">_xlfn.CONCAT("[&lt;SocioMutual&gt;][[CUIT]=",B42,"].Max([Renovaciones Final])")</f>
        <v>[&lt;SocioMutual&gt;][[CUIT]=El camino de la propiedad 'Adicional2.CUIT' no es correcto para el tipo 'ClasesBase.HojaCalculo'.].Max([Renovaciones Final])</v>
      </c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</row>
    <row r="49" s="5" customFormat="1">
      <c r="A49" s="248" t="s">
        <v>339</v>
      </c>
      <c r="B49" s="248" t="str">
        <f ca="1">IF(B48="SIN DATOS","SIN DATOS",IF(D49="","NO",IF(D49&gt;0,"SI","NO")))</f>
        <v>SI</v>
      </c>
      <c r="C49" s="248" t="s">
        <v>304</v>
      </c>
      <c r="D49" s="248" t="str">
        <f ca="1">IF(B42&lt;&gt;"","Parser error at line 0, character 26: syntax error; (""[&lt;SocioMutual&gt;][[CUIT]=El {FAILED HERE}camino de la propiedad 'Adicional2.CUIT' no es correcto para el tipo 'ClasesBase.HojaCalculo'.].Max([Rechazos en el Mes])"")",0)</f>
        <v>Parser error at line 0, character 26: syntax error; ("[&lt;SocioMutual&gt;][[CUIT]=El {FAILED HERE}camino de la propiedad 'Adicional2.CUIT' no es correcto para el tipo 'ClasesBase.HojaCalculo'.].Max([Rechazos en el Mes])")</v>
      </c>
      <c r="E49" s="248" t="str">
        <f ca="1">_xlfn.CONCAT("[&lt;SocioMutual&gt;][[CUIT]=",B42,"].Max([Rechazos en el Mes])")</f>
        <v>[&lt;SocioMutual&gt;][[CUIT]=El camino de la propiedad 'Adicional2.CUIT' no es correcto para el tipo 'ClasesBase.HojaCalculo'.].Max([Rechazos en el Mes])</v>
      </c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8"/>
      <c r="AG49" s="248"/>
      <c r="AH49" s="248"/>
    </row>
    <row r="50" s="5" customFormat="1">
      <c r="A50" s="248" t="s">
        <v>340</v>
      </c>
      <c r="B50" s="248" t="str">
        <f ca="1" t="shared" ref="B50:B51" si="8">IF(D50&lt;1,"",D50)</f>
        <v/>
      </c>
      <c r="C50" s="248" t="s">
        <v>306</v>
      </c>
      <c r="D50" s="248" t="inlineStr">
        <is>
          <t/>
        </is>
      </c>
      <c r="E50" s="248" t="inlineStr">
        <is>
          <t/>
        </is>
      </c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8"/>
      <c r="AG50" s="248"/>
      <c r="AH50" s="248"/>
    </row>
    <row r="51" s="5" customFormat="1">
      <c r="A51" s="248" t="s">
        <v>341</v>
      </c>
      <c r="B51" s="248" t="str">
        <f ca="1" t="shared" si="8"/>
        <v/>
      </c>
      <c r="C51" s="248"/>
      <c r="D51" s="248" t="inlineStr">
        <is>
          <t/>
        </is>
      </c>
      <c r="E51" s="248" t="inlineStr">
        <is>
          <t/>
        </is>
      </c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</row>
    <row r="52" s="5" customFormat="1">
      <c r="A52" s="248" t="s">
        <v>342</v>
      </c>
      <c r="B52" s="245" t="str">
        <f ca="1">IF(B42="",0,"El camino de la propiedad 'Adicional2.IngresoMensual' no es correcto para el tipo 'ClasesBase.HojaCalculo'.")</f>
        <v>El camino de la propiedad 'Adicional2.IngresoMensual' no es correcto para el tipo 'ClasesBase.HojaCalculo'.</v>
      </c>
      <c r="C52" s="248" t="s">
        <v>328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</row>
    <row r="53" s="5" customFormat="1">
      <c r="A53" s="248" t="s">
        <v>343</v>
      </c>
      <c r="B53" s="245" t="str">
        <f ca="1">IF(B42="",0,"El camino de la propiedad 'Adicional2.AntiguedadLaboralMeses' no es correcto para el tipo 'ClasesBase.HojaCalculo'.")</f>
        <v>El camino de la propiedad 'Adicional2.AntiguedadLaboralMeses' no es correcto para el tipo 'ClasesBase.HojaCalculo'.</v>
      </c>
      <c r="C53" s="248" t="s">
        <v>344</v>
      </c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</row>
    <row r="54" s="5" customFormat="1">
      <c r="A54" s="243"/>
      <c r="B54" s="249">
        <v>0</v>
      </c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</row>
  </sheetData>
</worksheet>
</file>

<file path=docProps/app.xml><?xml version="1.0" encoding="utf-8"?>
<Properties xmlns="http://schemas.openxmlformats.org/officeDocument/2006/extended-properties">
  <Company>ASOCIACION MUTUAL CELESOL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dc:description>SCORINGPF</dc:description>
  <cp:lastModifiedBy>Alvaro</cp:lastModifiedBy>
  <cp:lastPrinted>2025-03-17T17:39:24Z</cp:lastPrinted>
  <dcterms:created xsi:type="dcterms:W3CDTF">2025-05-22T21:18:52Z</dcterms:created>
  <dcterms:modified xsi:type="dcterms:W3CDTF">2026-06-25T14:15:11Z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D">
    <vt:lpwstr>4</vt:lpwstr>
  </property>
</Properties>
</file>